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argin" sheetId="1" state="visible" r:id="rId3"/>
    <sheet name="Settings" sheetId="2" state="visible" r:id="rId4"/>
    <sheet name="Monthly" sheetId="3" state="visible" r:id="rId5"/>
    <sheet name="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Burden matrix: US W-2 36%, US 1099 5%, India 8% (Kanna, 2026-10-11). GM floors US 35% / India 50%. Cost rate card values are placeholders. US holidays = federal observed 2026–27; India = national days only.</t>
        </r>
      </text>
    </comment>
  </commentList>
</comments>
</file>

<file path=xl/sharedStrings.xml><?xml version="1.0" encoding="utf-8"?>
<sst xmlns="http://schemas.openxmlformats.org/spreadsheetml/2006/main" count="235" uniqueCount="163">
  <si>
    <t xml:space="preserve">Cost margin sheet</t>
  </si>
  <si>
    <t xml:space="preserve">Yellow = inputs (blue text). Grey = calculated. * = required. Pick the engagement type first — it decides how revenue is counted and which fields apply.</t>
  </si>
  <si>
    <t xml:space="preserve">Project summary</t>
  </si>
  <si>
    <t xml:space="preserve">Engagement type *  (pick first)</t>
  </si>
  <si>
    <t xml:space="preserve">Fixed cost / Assessment → Total project price. MSP → Monthly fee. Time &amp; materials / Staff augmentation → each row's bill rate. Fields not needed for the chosen type turn grey.</t>
  </si>
  <si>
    <t xml:space="preserve">Engagement type</t>
  </si>
  <si>
    <t xml:space="preserve">Project / engagement name</t>
  </si>
  <si>
    <t xml:space="preserve">Duration (months)</t>
  </si>
  <si>
    <t xml:space="preserve">Client</t>
  </si>
  <si>
    <t xml:space="preserve">Project revenue</t>
  </si>
  <si>
    <t xml:space="preserve">Currency</t>
  </si>
  <si>
    <t xml:space="preserve">USD</t>
  </si>
  <si>
    <t xml:space="preserve">Pass-through expenses billed to client</t>
  </si>
  <si>
    <t xml:space="preserve">Project start *</t>
  </si>
  <si>
    <t xml:space="preserve">For Staff augmentation these are the forecast window; each resource's own dates default to them and can be changed.</t>
  </si>
  <si>
    <t xml:space="preserve">Total revenue</t>
  </si>
  <si>
    <t xml:space="preserve">Project end *</t>
  </si>
  <si>
    <t xml:space="preserve">Labour cost</t>
  </si>
  <si>
    <t xml:space="preserve">Duration (months, partial months by days)</t>
  </si>
  <si>
    <t xml:space="preserve">Burden cost</t>
  </si>
  <si>
    <t xml:space="preserve">Total project price *  (Fixed cost / Assessment)</t>
  </si>
  <si>
    <t xml:space="preserve">Additional costs</t>
  </si>
  <si>
    <t xml:space="preserve">Monthly fee *  (MSP)</t>
  </si>
  <si>
    <t xml:space="preserve">Total cost</t>
  </si>
  <si>
    <t xml:space="preserve">Additional costs on this project? *  (Y/N)</t>
  </si>
  <si>
    <t xml:space="preserve">Gross margin $</t>
  </si>
  <si>
    <t xml:space="preserve">Same start/end for every resource? *  (Y/N)</t>
  </si>
  <si>
    <t xml:space="preserve">Gross margin %</t>
  </si>
  <si>
    <t xml:space="preserve">Staffing — one row per person. To remove a person, clear that row's yellow cells; a row with no Role is ignored. Don't delete rows — the Monthly tab maps to them.</t>
  </si>
  <si>
    <t xml:space="preserve">Project GM floor %</t>
  </si>
  <si>
    <t xml:space="preserve">Role *</t>
  </si>
  <si>
    <t xml:space="preserve">Seniority *</t>
  </si>
  <si>
    <t xml:space="preserve">Location *</t>
  </si>
  <si>
    <t xml:space="preserve">Employment type *  (W-2 or 1099 — sets the burden %)</t>
  </si>
  <si>
    <t xml:space="preserve">Assignment / project  (optional — group resources; Staff augmentation)</t>
  </si>
  <si>
    <t xml:space="preserve">Utilization %</t>
  </si>
  <si>
    <t xml:space="preserve">Hours  (auto — use Hours override to change)</t>
  </si>
  <si>
    <t xml:space="preserve">Bill rate  (what we CHARGE the client per hour — T&amp;M / Staff aug only)</t>
  </si>
  <si>
    <t xml:space="preserve">Our cost / hour *  (what the person COSTS us, before burden — pre-filled from the Settings rate card; overwrite if known)</t>
  </si>
  <si>
    <t xml:space="preserve">Start  (B14 = Y: project start for everyone, greyed. B14 = N: pre-filled, change if the person joins later)</t>
  </si>
  <si>
    <t xml:space="preserve">End  (B14 = Y: project end for everyone. B14 = N: pre-filled, change if they leave earlier)</t>
  </si>
  <si>
    <t xml:space="preserve">Working days</t>
  </si>
  <si>
    <t xml:space="preserve">Hours override (optional)</t>
  </si>
  <si>
    <t xml:space="preserve">Burden %</t>
  </si>
  <si>
    <t xml:space="preserve">Labour at bill rate  (revenue, T&amp;M / Staff aug)</t>
  </si>
  <si>
    <t xml:space="preserve">Labour cost  (hours × cost/hr)</t>
  </si>
  <si>
    <t xml:space="preserve">Loaded cost  (labour + burden)</t>
  </si>
  <si>
    <t xml:space="preserve">GM floor %</t>
  </si>
  <si>
    <t xml:space="preserve">Row GM %  (T&amp;M / Staff aug)</t>
  </si>
  <si>
    <t xml:space="preserve">Status</t>
  </si>
  <si>
    <t xml:space="preserve">Missing inputs</t>
  </si>
  <si>
    <t xml:space="preserve">Monthly view</t>
  </si>
  <si>
    <t xml:space="preserve">Location check — each location's resources against their own floor (hourly types; fixed-price work is judged on the project floor only)</t>
  </si>
  <si>
    <t xml:space="preserve">Location</t>
  </si>
  <si>
    <t xml:space="preserve">Share of labour</t>
  </si>
  <si>
    <t xml:space="preserve">Resource floor</t>
  </si>
  <si>
    <t xml:space="preserve">Revenue (hourly types)</t>
  </si>
  <si>
    <t xml:space="preserve">GM % (hourly types)</t>
  </si>
  <si>
    <t xml:space="preserve">Check</t>
  </si>
  <si>
    <t xml:space="preserve">Row GM % in the staffing table turns red when a person is under their location's resource floor (hourly types).</t>
  </si>
  <si>
    <t xml:space="preserve">Assignments  (Staff augmentation / T&amp;M) — type the names used in column E; month-by-month numbers per assignment are on the Forecast tab</t>
  </si>
  <si>
    <t xml:space="preserve">Assignment / project</t>
  </si>
  <si>
    <t xml:space="preserve">People</t>
  </si>
  <si>
    <t xml:space="preserve">Staffing total</t>
  </si>
  <si>
    <t xml:space="preserve">Additional costs — travel, meals, licences, hardware, subcontractors (required when B13 = Y). To remove one, clear its yellow cells.</t>
  </si>
  <si>
    <t xml:space="preserve">Description *</t>
  </si>
  <si>
    <t xml:space="preserve">Category *</t>
  </si>
  <si>
    <t xml:space="preserve">Amount *</t>
  </si>
  <si>
    <t xml:space="preserve">Frequency  (dropdown: One-time or Monthly; blank = One-time)</t>
  </si>
  <si>
    <t xml:space="preserve">Billed to client? *  (dropdown Y/N — required)</t>
  </si>
  <si>
    <t xml:space="preserve">Total cost counted</t>
  </si>
  <si>
    <t xml:space="preserve">Revenue counted  (pass-through)</t>
  </si>
  <si>
    <t xml:space="preserve">Unassigned (blank column E)</t>
  </si>
  <si>
    <t xml:space="preserve">How to use</t>
  </si>
  <si>
    <t xml:space="preserve">1. Project block: engagement type, dates, and the price (Fixed cost / Assessment) or monthly fee (MSP). Duration is exact — a partial month counts by its days.</t>
  </si>
  <si>
    <t xml:space="preserve">2. Say Y or N to additional costs. If Y, every cost row needs Billed-to-client Y/N — the Check column tells you. Frequency blank = one-time.</t>
  </si>
  <si>
    <t xml:space="preserve">3. One staffing row per person: Role, Seniority, Location, Employment type (sets burden: US W-2 36%, US 1099 5%, India 8%), Utilization. Cost/hour pre-fills from the rate card; overwrite when you know better.</t>
  </si>
  <si>
    <t xml:space="preserve">3a. Dates: answer 'Same start/end for every resource?' in the project block. Y = everyone uses the project window and the row date columns grey out. N = each row pre-fills from the project dates and you change the ones who join late or leave early.</t>
  </si>
  <si>
    <t xml:space="preserve">4. Hours come from the dates (weekends and the location's holidays removed) × hours/day × utilization; type an override if the contract fixes hours.</t>
  </si>
  <si>
    <t xml:space="preserve">5. Bill rate matters for Time &amp; materials and Staff augmentation only. For Fixed cost, Assessment and MSP the revenue is the price or fee.</t>
  </si>
  <si>
    <t xml:space="preserve">6. Staff augmentation: no project price. Each resource has their own bill rate, cost, dates and an Assignment name. A leaver = an End date; a re-hire or an added person = a new row with its own Start date. The Forecast tab shows every assignment month by month; the Monthly tab shows every person month by month.</t>
  </si>
  <si>
    <t xml:space="preserve">7. GM % = (revenue − labour − burden − additional costs) ÷ revenue. The project passes at or above the project floor (Settings, 35%). Row GM % shows each person's margin for hourly types and turns red under that location's resource floor.</t>
  </si>
  <si>
    <t xml:space="preserve">8. Sheets are unprotected while the form is being stabilised. Don't delete rows inside the staffing table — clear the yellow cells instead.</t>
  </si>
  <si>
    <t xml:space="preserve">Additional costs total</t>
  </si>
  <si>
    <t xml:space="preserve">9. Settings: burden matrix and GM floors by location, the cost rate card (seniority × location × employment type — placeholders), lists, holidays.</t>
  </si>
  <si>
    <t xml:space="preserve">Frequency Monthly = repeats every month (× Duration). Blank or One-time = once. Billed to client Y = the client reimburses it (added to revenue and cost, zero margin); N = we absorb it.</t>
  </si>
  <si>
    <t xml:space="preserve">10. Floors: the project must clear 35% overall. On hourly work, US resources should earn 35% and India resources 50% — the Location check shows each location against its own floor as a warning.</t>
  </si>
  <si>
    <t xml:space="preserve">Settings</t>
  </si>
  <si>
    <t xml:space="preserve">Yellow cells are yours to set. Everything on the Cost Margin, Monthly and Forecast tabs reads from here.</t>
  </si>
  <si>
    <t xml:space="preserve">1 · General</t>
  </si>
  <si>
    <t xml:space="preserve">Hours per working day</t>
  </si>
  <si>
    <t xml:space="preserve">Hours = working days (Mon–Fri minus the location's holidays) × hours/day × utilization.</t>
  </si>
  <si>
    <t xml:space="preserve">The project passes when its overall GM is at or above this. Each location also has its own resource-level floor below (US 35%, India 50%) — shown as a check, not a fail.</t>
  </si>
  <si>
    <t xml:space="preserve">2 · Burden % and GM floor by location</t>
  </si>
  <si>
    <t xml:space="preserve">Burden % — W-2 / Employee</t>
  </si>
  <si>
    <t xml:space="preserve">Burden % — 1099 / Contractor</t>
  </si>
  <si>
    <t xml:space="preserve">Resource GM floor %</t>
  </si>
  <si>
    <t xml:space="preserve">Note</t>
  </si>
  <si>
    <t xml:space="preserve">US</t>
  </si>
  <si>
    <t xml:space="preserve">US W-2 36%, US 1099 5% — per Kanna, 2026-10-11.</t>
  </si>
  <si>
    <t xml:space="preserve">India</t>
  </si>
  <si>
    <t xml:space="preserve">All India resources 8% — per Kanna, 2026-10-11.</t>
  </si>
  <si>
    <t xml:space="preserve">Add a third location here; it appears in every dropdown, the rate card and the holiday table.</t>
  </si>
  <si>
    <t xml:space="preserve">Burden cost = labour cost × the burden % for the person's Location and Employment type. Resource GM floor = what each location's people should earn on hourly work (US 35%, India 50%).</t>
  </si>
  <si>
    <t xml:space="preserve">3 · Cost rate card — OUR hourly cost per person before burden, by seniority, location and employment type (PLACEHOLDERS — set your real numbers)</t>
  </si>
  <si>
    <t xml:space="preserve">Seniority</t>
  </si>
  <si>
    <t xml:space="preserve">Junior</t>
  </si>
  <si>
    <t xml:space="preserve">Mid</t>
  </si>
  <si>
    <t xml:space="preserve">Senior</t>
  </si>
  <si>
    <t xml:space="preserve">Principal</t>
  </si>
  <si>
    <t xml:space="preserve">A staffing row's cost/hour is pre-filled from here by Seniority × Location × Employment type. Typing a value on the row overrides it.</t>
  </si>
  <si>
    <t xml:space="preserve">4 · Lists</t>
  </si>
  <si>
    <t xml:space="preserve">Employment types</t>
  </si>
  <si>
    <t xml:space="preserve">Engagement types</t>
  </si>
  <si>
    <t xml:space="preserve">Cost categories</t>
  </si>
  <si>
    <t xml:space="preserve">Seniority levels are the rate-card rows above (A17:A20).</t>
  </si>
  <si>
    <t xml:space="preserve">W-2 / Employee</t>
  </si>
  <si>
    <t xml:space="preserve">Fixed cost</t>
  </si>
  <si>
    <t xml:space="preserve">Fixed cost / Assessment: one total price. MSP: fixed fee per month. Time &amp; materials: hours × bill rate. Staff augmentation: pure staffing — each resource has their own bill rate, cost, dates and assignment.</t>
  </si>
  <si>
    <t xml:space="preserve">Travel</t>
  </si>
  <si>
    <t xml:space="preserve">1099 / Contractor</t>
  </si>
  <si>
    <t xml:space="preserve">Assessment</t>
  </si>
  <si>
    <t xml:space="preserve">Lodging</t>
  </si>
  <si>
    <t xml:space="preserve">MSP</t>
  </si>
  <si>
    <t xml:space="preserve">Meals</t>
  </si>
  <si>
    <t xml:space="preserve">Time &amp; materials</t>
  </si>
  <si>
    <t xml:space="preserve">Software / licences</t>
  </si>
  <si>
    <t xml:space="preserve">Staff augmentation</t>
  </si>
  <si>
    <t xml:space="preserve">Hardware</t>
  </si>
  <si>
    <t xml:space="preserve">Subcontractor</t>
  </si>
  <si>
    <t xml:space="preserve">Miscellaneous</t>
  </si>
  <si>
    <t xml:space="preserve">5 · Holidays by location — weekday holidays only; the header is the location name</t>
  </si>
  <si>
    <t xml:space="preserve">US = federal holidays 2026–27 (observed). India = national days only (Republic Day, Independence Day, Gandhi Jayanti, Jan 1, Dec 25); add Holi, Diwali and state/company days from your HR calendar. Rows run to 74.</t>
  </si>
  <si>
    <t xml:space="preserve">Month by month — people, revenue, cost and margin</t>
  </si>
  <si>
    <t xml:space="preserve">Built from the Cost Margin tab. Up to 24 months. Partial months are prorated by days (row 4). MSP revenue = fee × share of month; Fixed cost / Assessment = price spread by share of month; T&amp;M / Staff augmentation = each resource's hours that month × their bill rate (see the per-person grids). One-time costs land in month 1; monthly ones repeat, prorated.</t>
  </si>
  <si>
    <t xml:space="preserve">Share of month covered</t>
  </si>
  <si>
    <t xml:space="preserve">Month start</t>
  </si>
  <si>
    <t xml:space="preserve">Month end</t>
  </si>
  <si>
    <t xml:space="preserve">← calendar months in view</t>
  </si>
  <si>
    <t xml:space="preserve">Row</t>
  </si>
  <si>
    <t xml:space="preserve">Person / line</t>
  </si>
  <si>
    <t xml:space="preserve">Project total</t>
  </si>
  <si>
    <t xml:space="preserve">Working days in month, per person</t>
  </si>
  <si>
    <t xml:space="preserve">Assignment</t>
  </si>
  <si>
    <t xml:space="preserve">Hours in month, per person (override hours are spread by working-day share)</t>
  </si>
  <si>
    <t xml:space="preserve">Revenue in month, per person (hours × bill rate — T&amp;M / Staff augmentation)</t>
  </si>
  <si>
    <t xml:space="preserve">Loaded cost in month, per person (hours × cost/hr × (1 + burden))</t>
  </si>
  <si>
    <t xml:space="preserve">Monthly P&amp;L</t>
  </si>
  <si>
    <t xml:space="preserve">People on project</t>
  </si>
  <si>
    <t xml:space="preserve">Hours</t>
  </si>
  <si>
    <t xml:space="preserve">Labour cost (loaded, incl. burden)</t>
  </si>
  <si>
    <t xml:space="preserve">Revenue</t>
  </si>
  <si>
    <t xml:space="preserve">Check: project-total revenue and cost here equal the Cost Margin summary. Difference →</t>
  </si>
  <si>
    <t xml:space="preserve">(revenue diff, cost diff — both should be 0; a non-zero cost diff means the project runs past 24 months)</t>
  </si>
  <si>
    <t xml:space="preserve">Forecast — every assignment, month by month, until the last contract ends</t>
  </si>
  <si>
    <t xml:space="preserve">For Staff augmentation and Time &amp; materials. Each block is one assignment name from the Cost Margin tab (column E). People who leave stop contributing after their End date; re-hires and additions are new staffing rows with their own Start date, so a month with nobody billing shows 0. Partial months are prorated by working days.</t>
  </si>
  <si>
    <t xml:space="preserve">Line</t>
  </si>
  <si>
    <t xml:space="preserve">Total</t>
  </si>
  <si>
    <t xml:space="preserve">ALL RESOURCES</t>
  </si>
  <si>
    <t xml:space="preserve">Revenue (labour only)</t>
  </si>
  <si>
    <t xml:space="preserve">Loaded cost (incl. burden)</t>
  </si>
  <si>
    <t xml:space="preserve">Additional costs and pass-through expenses are not split by assignment; the Monthly tab carries them.</t>
  </si>
  <si>
    <t xml:space="preserve">(unassigned)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</si>
</sst>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\$#,##0;&quot;($&quot;#,##0\);\-"/>
    <numFmt numFmtId="167" formatCode="mm/dd/yyyy"/>
    <numFmt numFmtId="168" formatCode="0.0%"/>
    <numFmt numFmtId="169" formatCode="#,##0;\(#,##0\);\-"/>
    <numFmt numFmtId="170" formatCode="\$#,##0.00;&quot;($&quot;#,##0.00\);\-"/>
    <numFmt numFmtId="171" formatCode="0;\-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1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3F3A64"/>
        <bgColor rgb="FF333399"/>
      </patternFill>
    </fill>
    <fill>
      <patternFill patternType="solid">
        <fgColor rgb="FFE7E3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808080"/>
        <sz val="10"/>
      </font>
      <fill>
        <patternFill>
          <bgColor rgb="FFD9D9D9"/>
        </patternFill>
      </fill>
    </dxf>
    <dxf>
      <font>
        <name val="Arial"/>
        <charset val="1"/>
        <family val="0"/>
        <color rgb="FFD9D9D9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A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4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pane xSplit="1" ySplit="0" topLeftCell="B17" activePane="topRight" state="frozen"/>
      <selection pane="topLeft" activeCell="A17" activeCellId="0" sqref="A17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3"/>
    <col collapsed="false" customWidth="true" hidden="false" outlineLevel="0" max="22" min="22" style="0" width="34"/>
    <col collapsed="false" customWidth="true" hidden="false" outlineLevel="0" max="23" min="23" style="0" width="30"/>
    <col collapsed="false" customWidth="true" hidden="false" outlineLevel="0" max="24" min="24" style="0" width="14"/>
    <col collapsed="false" customWidth="true" hidden="false" outlineLevel="0" max="26" min="25" style="0" width="13"/>
    <col collapsed="false" customWidth="true" hidden="false" outlineLevel="0" max="27" min="2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V3" s="3" t="s">
        <v>2</v>
      </c>
    </row>
    <row r="4" customFormat="false" ht="15" hidden="false" customHeight="false" outlineLevel="0" collapsed="false">
      <c r="A4" s="3" t="s">
        <v>3</v>
      </c>
      <c r="B4" s="4"/>
      <c r="C4" s="2" t="s">
        <v>4</v>
      </c>
      <c r="V4" s="5" t="s">
        <v>5</v>
      </c>
      <c r="W4" s="5" t="str">
        <f aca="false">IF(B4="","",B4)</f>
        <v/>
      </c>
    </row>
    <row r="5" customFormat="false" ht="15" hidden="false" customHeight="false" outlineLevel="0" collapsed="false">
      <c r="A5" s="3" t="s">
        <v>6</v>
      </c>
      <c r="B5" s="4"/>
      <c r="V5" s="5" t="s">
        <v>7</v>
      </c>
      <c r="W5" s="6" t="str">
        <f aca="false">B10</f>
        <v/>
      </c>
    </row>
    <row r="6" customFormat="false" ht="15" hidden="false" customHeight="false" outlineLevel="0" collapsed="false">
      <c r="A6" s="3" t="s">
        <v>8</v>
      </c>
      <c r="B6" s="4"/>
      <c r="V6" s="5" t="s">
        <v>9</v>
      </c>
      <c r="W6" s="7" t="str">
        <f aca="false">IF(B4="","",IF(B4="MSP",IF(OR(B12="",B10=""),"",B12*B10),IF(OR(B4="Time &amp; materials",B4="Staff augmentation"),O37,IF(B11="","",B11))))</f>
        <v/>
      </c>
    </row>
    <row r="7" customFormat="false" ht="15" hidden="false" customHeight="false" outlineLevel="0" collapsed="false">
      <c r="A7" s="3" t="s">
        <v>10</v>
      </c>
      <c r="B7" s="4" t="s">
        <v>11</v>
      </c>
      <c r="V7" s="5" t="s">
        <v>12</v>
      </c>
      <c r="W7" s="7" t="n">
        <f aca="false">H53</f>
        <v>0</v>
      </c>
    </row>
    <row r="8" customFormat="false" ht="15" hidden="false" customHeight="false" outlineLevel="0" collapsed="false">
      <c r="A8" s="3" t="s">
        <v>13</v>
      </c>
      <c r="B8" s="8"/>
      <c r="C8" s="2" t="s">
        <v>14</v>
      </c>
      <c r="V8" s="9" t="s">
        <v>15</v>
      </c>
      <c r="W8" s="7" t="str">
        <f aca="false">IF(W6="","",W6+W7)</f>
        <v/>
      </c>
    </row>
    <row r="9" customFormat="false" ht="15" hidden="false" customHeight="false" outlineLevel="0" collapsed="false">
      <c r="A9" s="3" t="s">
        <v>16</v>
      </c>
      <c r="B9" s="8"/>
      <c r="V9" s="5" t="s">
        <v>17</v>
      </c>
      <c r="W9" s="7" t="n">
        <f aca="false">P37</f>
        <v>0</v>
      </c>
    </row>
    <row r="10" customFormat="false" ht="15" hidden="false" customHeight="false" outlineLevel="0" collapsed="false">
      <c r="A10" s="3" t="s">
        <v>18</v>
      </c>
      <c r="B10" s="6" t="str">
        <f aca="false">IF(OR(B8="",B9=""),"",SUM(Monthly!$C$4:$Z$4))</f>
        <v/>
      </c>
      <c r="C10" s="3" t="str">
        <f aca="false">IF(OR(B8="",B9=""),"",IF(B9&lt;B8,"End is before start",DATEDIF(B8,B9+1,"M")&amp;" month(s) "&amp;DATEDIF(B8,B9+1,"MD")&amp;" day(s) — "&amp;(B9-B8+1)&amp;" calendar days inclusive"))</f>
        <v/>
      </c>
      <c r="V10" s="5" t="s">
        <v>19</v>
      </c>
      <c r="W10" s="7" t="n">
        <f aca="false">Q37</f>
        <v>0</v>
      </c>
    </row>
    <row r="11" customFormat="false" ht="15" hidden="false" customHeight="false" outlineLevel="0" collapsed="false">
      <c r="A11" s="3" t="s">
        <v>20</v>
      </c>
      <c r="B11" s="10"/>
      <c r="C11" s="11" t="str">
        <f aca="false">IF(OR(B4="Fixed cost",B4="Assessment"),IF(B11="","← required for this engagement type",""),IF(B11="","","Not used for this engagement type"))</f>
        <v/>
      </c>
      <c r="V11" s="5" t="s">
        <v>21</v>
      </c>
      <c r="W11" s="7" t="n">
        <f aca="false">G53</f>
        <v>0</v>
      </c>
    </row>
    <row r="12" customFormat="false" ht="15" hidden="false" customHeight="false" outlineLevel="0" collapsed="false">
      <c r="A12" s="3" t="s">
        <v>22</v>
      </c>
      <c r="B12" s="10"/>
      <c r="C12" s="11" t="str">
        <f aca="false">IF(B4="MSP",IF(B12="","← required for MSP",""),IF(B12="","","Not used for this engagement type"))</f>
        <v/>
      </c>
      <c r="V12" s="9" t="s">
        <v>23</v>
      </c>
      <c r="W12" s="7" t="n">
        <f aca="false">W9+W10+W11</f>
        <v>0</v>
      </c>
    </row>
    <row r="13" customFormat="false" ht="15" hidden="false" customHeight="false" outlineLevel="0" collapsed="false">
      <c r="A13" s="3" t="s">
        <v>24</v>
      </c>
      <c r="B13" s="4"/>
      <c r="C13" s="11" t="str">
        <f aca="false">IF(B13="","← required: Y if there are travel, licences, subcontractor or other costs; N if none","")</f>
        <v>← required: Y if there are travel, licences, subcontractor or other costs; N if none</v>
      </c>
      <c r="V13" s="9" t="s">
        <v>25</v>
      </c>
      <c r="W13" s="7" t="str">
        <f aca="false">IF(W8="","",W8-W12)</f>
        <v/>
      </c>
    </row>
    <row r="14" customFormat="false" ht="15" hidden="false" customHeight="false" outlineLevel="0" collapsed="false">
      <c r="A14" s="3" t="s">
        <v>26</v>
      </c>
      <c r="B14" s="4"/>
      <c r="C14" s="11" t="str">
        <f aca="false">IF(B14="","← required: Y = everyone works the full project window (row dates are ignored); N = set each person's own Start/End below","")</f>
        <v>← required: Y = everyone works the full project window (row dates are ignored); N = set each person's own Start/End below</v>
      </c>
      <c r="V14" s="9" t="s">
        <v>27</v>
      </c>
      <c r="W14" s="12" t="str">
        <f aca="false">IF(OR(W8="",W8=0),"",W13/W8)</f>
        <v/>
      </c>
    </row>
    <row r="15" customFormat="false" ht="15" hidden="false" customHeight="false" outlineLevel="0" collapsed="false">
      <c r="A15" s="3" t="s">
        <v>28</v>
      </c>
      <c r="V15" s="5" t="s">
        <v>29</v>
      </c>
      <c r="W15" s="12" t="n">
        <f aca="false">Settings!$B$6</f>
        <v>0.35</v>
      </c>
    </row>
    <row r="16" customFormat="false" ht="91.5" hidden="false" customHeight="true" outlineLevel="0" collapsed="false">
      <c r="A16" s="13" t="s">
        <v>30</v>
      </c>
      <c r="B16" s="13" t="s">
        <v>31</v>
      </c>
      <c r="C16" s="13" t="s">
        <v>32</v>
      </c>
      <c r="D16" s="13" t="s">
        <v>33</v>
      </c>
      <c r="E16" s="13" t="s">
        <v>34</v>
      </c>
      <c r="F16" s="13" t="s">
        <v>35</v>
      </c>
      <c r="G16" s="13" t="s">
        <v>36</v>
      </c>
      <c r="H16" s="13" t="s">
        <v>37</v>
      </c>
      <c r="I16" s="13" t="s">
        <v>38</v>
      </c>
      <c r="J16" s="13" t="s">
        <v>39</v>
      </c>
      <c r="K16" s="13" t="s">
        <v>40</v>
      </c>
      <c r="L16" s="13" t="s">
        <v>41</v>
      </c>
      <c r="M16" s="13" t="s">
        <v>42</v>
      </c>
      <c r="N16" s="13" t="s">
        <v>43</v>
      </c>
      <c r="O16" s="13" t="s">
        <v>44</v>
      </c>
      <c r="P16" s="13" t="s">
        <v>45</v>
      </c>
      <c r="Q16" s="13" t="s">
        <v>19</v>
      </c>
      <c r="R16" s="13" t="s">
        <v>46</v>
      </c>
      <c r="S16" s="13" t="s">
        <v>47</v>
      </c>
      <c r="T16" s="13" t="s">
        <v>48</v>
      </c>
      <c r="V16" s="9" t="s">
        <v>49</v>
      </c>
      <c r="W16" s="9" t="str">
        <f aca="false">IF(W18&lt;&gt;"","INCOMPLETE — see below",IF(OR(W14="",W15=""),"",IF(W14&gt;=W15,"PASS — GM "&amp;TEXT(W14,"0.0%")&amp;" ≥ floor "&amp;TEXT(W15,"0.0%"),"BELOW FLOOR — GM "&amp;TEXT(W14,"0.0%")&amp;" &lt; floor "&amp;TEXT(W15,"0.0%"))))</f>
        <v>INCOMPLETE — see below</v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14"/>
      <c r="G17" s="15" t="str">
        <f aca="false">IF(M17&lt;&gt;"",M17,IF(L17="","",L17*Settings!$B$5*IF(F17="",1,F17)))</f>
        <v/>
      </c>
      <c r="H17" s="16"/>
      <c r="I17" s="16" t="str">
        <f aca="false">IF(OR(B17="",C17="",D17=""),"",IFERROR(INDEX(Settings!$B$17:$I$20,MATCH(B17,Settings!$A$17:$A$20,0),(MATCH(C17,Settings!$A$9:$A$12,0)-1)*2+IF(D17="W-2 / Employee",1,2)),""))</f>
        <v/>
      </c>
      <c r="J17" s="8" t="str">
        <f aca="false">IF(OR(A17="",$B$8=""),"",$B$8)</f>
        <v/>
      </c>
      <c r="K17" s="8" t="str">
        <f aca="false">IF(OR(A17="",$B$9=""),"",$B$9)</f>
        <v/>
      </c>
      <c r="L17" s="15" t="str">
        <f aca="false">IF(OR(A17="",IF(OR($B$14="Y",J17=""),$B$8,J17)="",IF(OR($B$14="Y",K17=""),$B$9,K17)=""),"",IFERROR(NETWORKDAYS(IF(OR($B$14="Y",J17=""),$B$8,J17),IF(OR($B$14="Y",K17=""),$B$9,K17),INDEX(Settings!$A$35:$D$74,0,MATCH(C17,Settings!$A$34:$D$34,0))),NETWORKDAYS(IF(OR($B$14="Y",J17=""),$B$8,J17),IF(OR($B$14="Y",K17=""),$B$9,K17))))</f>
        <v/>
      </c>
      <c r="M17" s="17"/>
      <c r="N17" s="18" t="n">
        <f aca="false">IF(OR(C17="",D17=""),0,IFERROR(INDEX(Settings!$B$9:$C$12,MATCH(C17,Settings!$A$9:$A$12,0),IF(D17="W-2 / Employee",1,2)),0))</f>
        <v>0</v>
      </c>
      <c r="O17" s="7" t="n">
        <f aca="false">IF(OR(G17="",H17=""),0,G17*H17)</f>
        <v>0</v>
      </c>
      <c r="P17" s="7" t="n">
        <f aca="false">IF(OR(G17="",I17=""),0,G17*I17)</f>
        <v>0</v>
      </c>
      <c r="Q17" s="7" t="n">
        <f aca="false">P17*N17</f>
        <v>0</v>
      </c>
      <c r="R17" s="7" t="n">
        <f aca="false">P17+Q17</f>
        <v>0</v>
      </c>
      <c r="S17" s="18" t="n">
        <f aca="false">IF(C17="",0,IFERROR(INDEX(Settings!$D$9:$D$12,MATCH(C17,Settings!$A$9:$A$12,0)),0))</f>
        <v>0</v>
      </c>
      <c r="T17" s="12" t="str">
        <f aca="false">IF(O17=0,"",(O17-R17)/O17)</f>
        <v/>
      </c>
    </row>
    <row r="18" customFormat="false" ht="79.5" hidden="false" customHeight="true" outlineLevel="0" collapsed="false">
      <c r="A18" s="4"/>
      <c r="B18" s="4"/>
      <c r="C18" s="4"/>
      <c r="D18" s="4"/>
      <c r="E18" s="4"/>
      <c r="F18" s="14"/>
      <c r="G18" s="15" t="str">
        <f aca="false">IF(M18&lt;&gt;"",M18,IF(L18="","",L18*Settings!$B$5*IF(F18="",1,F18)))</f>
        <v/>
      </c>
      <c r="H18" s="16"/>
      <c r="I18" s="16" t="str">
        <f aca="false">IF(OR(B18="",C18="",D18=""),"",IFERROR(INDEX(Settings!$B$17:$I$20,MATCH(B18,Settings!$A$17:$A$20,0),(MATCH(C18,Settings!$A$9:$A$12,0)-1)*2+IF(D18="W-2 / Employee",1,2)),""))</f>
        <v/>
      </c>
      <c r="J18" s="8" t="str">
        <f aca="false">IF(OR(A18="",$B$8=""),"",$B$8)</f>
        <v/>
      </c>
      <c r="K18" s="8" t="str">
        <f aca="false">IF(OR(A18="",$B$9=""),"",$B$9)</f>
        <v/>
      </c>
      <c r="L18" s="15" t="str">
        <f aca="false">IF(OR(A18="",IF(OR($B$14="Y",J18=""),$B$8,J18)="",IF(OR($B$14="Y",K18=""),$B$9,K18)=""),"",IFERROR(NETWORKDAYS(IF(OR($B$14="Y",J18=""),$B$8,J18),IF(OR($B$14="Y",K18=""),$B$9,K18),INDEX(Settings!$A$35:$D$74,0,MATCH(C18,Settings!$A$34:$D$34,0))),NETWORKDAYS(IF(OR($B$14="Y",J18=""),$B$8,J18),IF(OR($B$14="Y",K18=""),$B$9,K18))))</f>
        <v/>
      </c>
      <c r="M18" s="17"/>
      <c r="N18" s="18" t="n">
        <f aca="false">IF(OR(C18="",D18=""),0,IFERROR(INDEX(Settings!$B$9:$C$12,MATCH(C18,Settings!$A$9:$A$12,0),IF(D18="W-2 / Employee",1,2)),0))</f>
        <v>0</v>
      </c>
      <c r="O18" s="7" t="n">
        <f aca="false">IF(OR(G18="",H18=""),0,G18*H18)</f>
        <v>0</v>
      </c>
      <c r="P18" s="7" t="n">
        <f aca="false">IF(OR(G18="",I18=""),0,G18*I18)</f>
        <v>0</v>
      </c>
      <c r="Q18" s="7" t="n">
        <f aca="false">P18*N18</f>
        <v>0</v>
      </c>
      <c r="R18" s="7" t="n">
        <f aca="false">P18+Q18</f>
        <v>0</v>
      </c>
      <c r="S18" s="18" t="n">
        <f aca="false">IF(C18="",0,IFERROR(INDEX(Settings!$D$9:$D$12,MATCH(C18,Settings!$A$9:$A$12,0)),0))</f>
        <v>0</v>
      </c>
      <c r="T18" s="12" t="str">
        <f aca="false">IF(O18=0,"",(O18-R18)/O18)</f>
        <v/>
      </c>
      <c r="V18" s="5" t="s">
        <v>50</v>
      </c>
      <c r="W18" s="19" t="str">
        <f aca="false">TRIM(IF(B4="","Engagement type. ","")&amp;IF(OR(B8="",B9=""),"Project dates. ","")&amp;IF(AND(OR(B4="Fixed cost",B4="Assessment"),B11=""),"Total project price. ","")&amp;IF(AND(B4="MSP",B12=""),"Monthly fee. ","")&amp;IF(B13="","Additional costs Y/N. ","")&amp;IF(B14="","Same start/end for every resource Y/N. ","")&amp;IF(COUNTIF(I41:I52,"Pick*")&gt;0,"Billed to client Y/N (column F) on additional cost rows. ","")&amp;IF(COUNTIFS(A17:A36,"&lt;&gt;",D17:D36,"")&gt;0,"Employment type (column D) on staffing rows. ","")&amp;IF(COUNTIFS(A17:A36,"&lt;&gt;",I17:I36,"")&gt;0,"Our cost/hour (column I) on staffing rows — pick Seniority + Location or type it. ","")&amp;IF(AND(OR(B4="Time &amp; materials",B4="Staff augmentation"),COUNTIFS(A17:A36,"&lt;&gt;",H17:H36,"")&gt;0),"Bill rate (column H) on staffing rows. ",""))</f>
        <v>Engagement type. Project dates. Additional costs Y/N. Same start/end for every resource Y/N.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14"/>
      <c r="G19" s="15" t="str">
        <f aca="false">IF(M19&lt;&gt;"",M19,IF(L19="","",L19*Settings!$B$5*IF(F19="",1,F19)))</f>
        <v/>
      </c>
      <c r="H19" s="16"/>
      <c r="I19" s="16" t="str">
        <f aca="false">IF(OR(B19="",C19="",D19=""),"",IFERROR(INDEX(Settings!$B$17:$I$20,MATCH(B19,Settings!$A$17:$A$20,0),(MATCH(C19,Settings!$A$9:$A$12,0)-1)*2+IF(D19="W-2 / Employee",1,2)),""))</f>
        <v/>
      </c>
      <c r="J19" s="8" t="str">
        <f aca="false">IF(OR(A19="",$B$8=""),"",$B$8)</f>
        <v/>
      </c>
      <c r="K19" s="8" t="str">
        <f aca="false">IF(OR(A19="",$B$9=""),"",$B$9)</f>
        <v/>
      </c>
      <c r="L19" s="15" t="str">
        <f aca="false">IF(OR(A19="",IF(OR($B$14="Y",J19=""),$B$8,J19)="",IF(OR($B$14="Y",K19=""),$B$9,K19)=""),"",IFERROR(NETWORKDAYS(IF(OR($B$14="Y",J19=""),$B$8,J19),IF(OR($B$14="Y",K19=""),$B$9,K19),INDEX(Settings!$A$35:$D$74,0,MATCH(C19,Settings!$A$34:$D$34,0))),NETWORKDAYS(IF(OR($B$14="Y",J19=""),$B$8,J19),IF(OR($B$14="Y",K19=""),$B$9,K19))))</f>
        <v/>
      </c>
      <c r="M19" s="17"/>
      <c r="N19" s="18" t="n">
        <f aca="false">IF(OR(C19="",D19=""),0,IFERROR(INDEX(Settings!$B$9:$C$12,MATCH(C19,Settings!$A$9:$A$12,0),IF(D19="W-2 / Employee",1,2)),0))</f>
        <v>0</v>
      </c>
      <c r="O19" s="7" t="n">
        <f aca="false">IF(OR(G19="",H19=""),0,G19*H19)</f>
        <v>0</v>
      </c>
      <c r="P19" s="7" t="n">
        <f aca="false">IF(OR(G19="",I19=""),0,G19*I19)</f>
        <v>0</v>
      </c>
      <c r="Q19" s="7" t="n">
        <f aca="false">P19*N19</f>
        <v>0</v>
      </c>
      <c r="R19" s="7" t="n">
        <f aca="false">P19+Q19</f>
        <v>0</v>
      </c>
      <c r="S19" s="18" t="n">
        <f aca="false">IF(C19="",0,IFERROR(INDEX(Settings!$D$9:$D$12,MATCH(C19,Settings!$A$9:$A$12,0)),0))</f>
        <v>0</v>
      </c>
      <c r="T19" s="12" t="str">
        <f aca="false">IF(O19=0,"",(O19-R19)/O19)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14"/>
      <c r="G20" s="15" t="str">
        <f aca="false">IF(M20&lt;&gt;"",M20,IF(L20="","",L20*Settings!$B$5*IF(F20="",1,F20)))</f>
        <v/>
      </c>
      <c r="H20" s="16"/>
      <c r="I20" s="16" t="str">
        <f aca="false">IF(OR(B20="",C20="",D20=""),"",IFERROR(INDEX(Settings!$B$17:$I$20,MATCH(B20,Settings!$A$17:$A$20,0),(MATCH(C20,Settings!$A$9:$A$12,0)-1)*2+IF(D20="W-2 / Employee",1,2)),""))</f>
        <v/>
      </c>
      <c r="J20" s="8" t="str">
        <f aca="false">IF(OR(A20="",$B$8=""),"",$B$8)</f>
        <v/>
      </c>
      <c r="K20" s="8" t="str">
        <f aca="false">IF(OR(A20="",$B$9=""),"",$B$9)</f>
        <v/>
      </c>
      <c r="L20" s="15" t="str">
        <f aca="false">IF(OR(A20="",IF(OR($B$14="Y",J20=""),$B$8,J20)="",IF(OR($B$14="Y",K20=""),$B$9,K20)=""),"",IFERROR(NETWORKDAYS(IF(OR($B$14="Y",J20=""),$B$8,J20),IF(OR($B$14="Y",K20=""),$B$9,K20),INDEX(Settings!$A$35:$D$74,0,MATCH(C20,Settings!$A$34:$D$34,0))),NETWORKDAYS(IF(OR($B$14="Y",J20=""),$B$8,J20),IF(OR($B$14="Y",K20=""),$B$9,K20))))</f>
        <v/>
      </c>
      <c r="M20" s="17"/>
      <c r="N20" s="18" t="n">
        <f aca="false">IF(OR(C20="",D20=""),0,IFERROR(INDEX(Settings!$B$9:$C$12,MATCH(C20,Settings!$A$9:$A$12,0),IF(D20="W-2 / Employee",1,2)),0))</f>
        <v>0</v>
      </c>
      <c r="O20" s="7" t="n">
        <f aca="false">IF(OR(G20="",H20=""),0,G20*H20)</f>
        <v>0</v>
      </c>
      <c r="P20" s="7" t="n">
        <f aca="false">IF(OR(G20="",I20=""),0,G20*I20)</f>
        <v>0</v>
      </c>
      <c r="Q20" s="7" t="n">
        <f aca="false">P20*N20</f>
        <v>0</v>
      </c>
      <c r="R20" s="7" t="n">
        <f aca="false">P20+Q20</f>
        <v>0</v>
      </c>
      <c r="S20" s="18" t="n">
        <f aca="false">IF(C20="",0,IFERROR(INDEX(Settings!$D$9:$D$12,MATCH(C20,Settings!$A$9:$A$12,0)),0))</f>
        <v>0</v>
      </c>
      <c r="T20" s="12" t="str">
        <f aca="false">IF(O20=0,"",(O20-R20)/O20)</f>
        <v/>
      </c>
      <c r="V20" s="9" t="s">
        <v>51</v>
      </c>
      <c r="W20" s="20" t="str">
        <f aca="false">IF(B10="","",IF(B10&gt;2,"Required — see Monthly tab","Not needed (≤ 2 months)"))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14"/>
      <c r="G21" s="15" t="str">
        <f aca="false">IF(M21&lt;&gt;"",M21,IF(L21="","",L21*Settings!$B$5*IF(F21="",1,F21)))</f>
        <v/>
      </c>
      <c r="H21" s="16"/>
      <c r="I21" s="16" t="str">
        <f aca="false">IF(OR(B21="",C21="",D21=""),"",IFERROR(INDEX(Settings!$B$17:$I$20,MATCH(B21,Settings!$A$17:$A$20,0),(MATCH(C21,Settings!$A$9:$A$12,0)-1)*2+IF(D21="W-2 / Employee",1,2)),""))</f>
        <v/>
      </c>
      <c r="J21" s="8" t="str">
        <f aca="false">IF(OR(A21="",$B$8=""),"",$B$8)</f>
        <v/>
      </c>
      <c r="K21" s="8" t="str">
        <f aca="false">IF(OR(A21="",$B$9=""),"",$B$9)</f>
        <v/>
      </c>
      <c r="L21" s="15" t="str">
        <f aca="false">IF(OR(A21="",IF(OR($B$14="Y",J21=""),$B$8,J21)="",IF(OR($B$14="Y",K21=""),$B$9,K21)=""),"",IFERROR(NETWORKDAYS(IF(OR($B$14="Y",J21=""),$B$8,J21),IF(OR($B$14="Y",K21=""),$B$9,K21),INDEX(Settings!$A$35:$D$74,0,MATCH(C21,Settings!$A$34:$D$34,0))),NETWORKDAYS(IF(OR($B$14="Y",J21=""),$B$8,J21),IF(OR($B$14="Y",K21=""),$B$9,K21))))</f>
        <v/>
      </c>
      <c r="M21" s="17"/>
      <c r="N21" s="18" t="n">
        <f aca="false">IF(OR(C21="",D21=""),0,IFERROR(INDEX(Settings!$B$9:$C$12,MATCH(C21,Settings!$A$9:$A$12,0),IF(D21="W-2 / Employee",1,2)),0))</f>
        <v>0</v>
      </c>
      <c r="O21" s="7" t="n">
        <f aca="false">IF(OR(G21="",H21=""),0,G21*H21)</f>
        <v>0</v>
      </c>
      <c r="P21" s="7" t="n">
        <f aca="false">IF(OR(G21="",I21=""),0,G21*I21)</f>
        <v>0</v>
      </c>
      <c r="Q21" s="7" t="n">
        <f aca="false">P21*N21</f>
        <v>0</v>
      </c>
      <c r="R21" s="7" t="n">
        <f aca="false">P21+Q21</f>
        <v>0</v>
      </c>
      <c r="S21" s="18" t="n">
        <f aca="false">IF(C21="",0,IFERROR(INDEX(Settings!$D$9:$D$12,MATCH(C21,Settings!$A$9:$A$12,0)),0))</f>
        <v>0</v>
      </c>
      <c r="T21" s="12" t="str">
        <f aca="false">IF(O21=0,"",(O21-R21)/O21)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14"/>
      <c r="G22" s="15" t="str">
        <f aca="false">IF(M22&lt;&gt;"",M22,IF(L22="","",L22*Settings!$B$5*IF(F22="",1,F22)))</f>
        <v/>
      </c>
      <c r="H22" s="16"/>
      <c r="I22" s="16" t="str">
        <f aca="false">IF(OR(B22="",C22="",D22=""),"",IFERROR(INDEX(Settings!$B$17:$I$20,MATCH(B22,Settings!$A$17:$A$20,0),(MATCH(C22,Settings!$A$9:$A$12,0)-1)*2+IF(D22="W-2 / Employee",1,2)),""))</f>
        <v/>
      </c>
      <c r="J22" s="8" t="str">
        <f aca="false">IF(OR(A22="",$B$8=""),"",$B$8)</f>
        <v/>
      </c>
      <c r="K22" s="8" t="str">
        <f aca="false">IF(OR(A22="",$B$9=""),"",$B$9)</f>
        <v/>
      </c>
      <c r="L22" s="15" t="str">
        <f aca="false">IF(OR(A22="",IF(OR($B$14="Y",J22=""),$B$8,J22)="",IF(OR($B$14="Y",K22=""),$B$9,K22)=""),"",IFERROR(NETWORKDAYS(IF(OR($B$14="Y",J22=""),$B$8,J22),IF(OR($B$14="Y",K22=""),$B$9,K22),INDEX(Settings!$A$35:$D$74,0,MATCH(C22,Settings!$A$34:$D$34,0))),NETWORKDAYS(IF(OR($B$14="Y",J22=""),$B$8,J22),IF(OR($B$14="Y",K22=""),$B$9,K22))))</f>
        <v/>
      </c>
      <c r="M22" s="17"/>
      <c r="N22" s="18" t="n">
        <f aca="false">IF(OR(C22="",D22=""),0,IFERROR(INDEX(Settings!$B$9:$C$12,MATCH(C22,Settings!$A$9:$A$12,0),IF(D22="W-2 / Employee",1,2)),0))</f>
        <v>0</v>
      </c>
      <c r="O22" s="7" t="n">
        <f aca="false">IF(OR(G22="",H22=""),0,G22*H22)</f>
        <v>0</v>
      </c>
      <c r="P22" s="7" t="n">
        <f aca="false">IF(OR(G22="",I22=""),0,G22*I22)</f>
        <v>0</v>
      </c>
      <c r="Q22" s="7" t="n">
        <f aca="false">P22*N22</f>
        <v>0</v>
      </c>
      <c r="R22" s="7" t="n">
        <f aca="false">P22+Q22</f>
        <v>0</v>
      </c>
      <c r="S22" s="18" t="n">
        <f aca="false">IF(C22="",0,IFERROR(INDEX(Settings!$D$9:$D$12,MATCH(C22,Settings!$A$9:$A$12,0)),0))</f>
        <v>0</v>
      </c>
      <c r="T22" s="12" t="str">
        <f aca="false">IF(O22=0,"",(O22-R22)/O22)</f>
        <v/>
      </c>
      <c r="V22" s="3" t="s">
        <v>52</v>
      </c>
    </row>
    <row r="23" customFormat="false" ht="35.05" hidden="false" customHeight="false" outlineLevel="0" collapsed="false">
      <c r="A23" s="4"/>
      <c r="B23" s="4"/>
      <c r="C23" s="4"/>
      <c r="D23" s="4"/>
      <c r="E23" s="4"/>
      <c r="F23" s="14"/>
      <c r="G23" s="15" t="str">
        <f aca="false">IF(M23&lt;&gt;"",M23,IF(L23="","",L23*Settings!$B$5*IF(F23="",1,F23)))</f>
        <v/>
      </c>
      <c r="H23" s="16"/>
      <c r="I23" s="16" t="str">
        <f aca="false">IF(OR(B23="",C23="",D23=""),"",IFERROR(INDEX(Settings!$B$17:$I$20,MATCH(B23,Settings!$A$17:$A$20,0),(MATCH(C23,Settings!$A$9:$A$12,0)-1)*2+IF(D23="W-2 / Employee",1,2)),""))</f>
        <v/>
      </c>
      <c r="J23" s="8" t="str">
        <f aca="false">IF(OR(A23="",$B$8=""),"",$B$8)</f>
        <v/>
      </c>
      <c r="K23" s="8" t="str">
        <f aca="false">IF(OR(A23="",$B$9=""),"",$B$9)</f>
        <v/>
      </c>
      <c r="L23" s="15" t="str">
        <f aca="false">IF(OR(A23="",IF(OR($B$14="Y",J23=""),$B$8,J23)="",IF(OR($B$14="Y",K23=""),$B$9,K23)=""),"",IFERROR(NETWORKDAYS(IF(OR($B$14="Y",J23=""),$B$8,J23),IF(OR($B$14="Y",K23=""),$B$9,K23),INDEX(Settings!$A$35:$D$74,0,MATCH(C23,Settings!$A$34:$D$34,0))),NETWORKDAYS(IF(OR($B$14="Y",J23=""),$B$8,J23),IF(OR($B$14="Y",K23=""),$B$9,K23))))</f>
        <v/>
      </c>
      <c r="M23" s="17"/>
      <c r="N23" s="18" t="n">
        <f aca="false">IF(OR(C23="",D23=""),0,IFERROR(INDEX(Settings!$B$9:$C$12,MATCH(C23,Settings!$A$9:$A$12,0),IF(D23="W-2 / Employee",1,2)),0))</f>
        <v>0</v>
      </c>
      <c r="O23" s="7" t="n">
        <f aca="false">IF(OR(G23="",H23=""),0,G23*H23)</f>
        <v>0</v>
      </c>
      <c r="P23" s="7" t="n">
        <f aca="false">IF(OR(G23="",I23=""),0,G23*I23)</f>
        <v>0</v>
      </c>
      <c r="Q23" s="7" t="n">
        <f aca="false">P23*N23</f>
        <v>0</v>
      </c>
      <c r="R23" s="7" t="n">
        <f aca="false">P23+Q23</f>
        <v>0</v>
      </c>
      <c r="S23" s="18" t="n">
        <f aca="false">IF(C23="",0,IFERROR(INDEX(Settings!$D$9:$D$12,MATCH(C23,Settings!$A$9:$A$12,0)),0))</f>
        <v>0</v>
      </c>
      <c r="T23" s="12" t="str">
        <f aca="false">IF(O23=0,"",(O23-R23)/O23)</f>
        <v/>
      </c>
      <c r="V23" s="13" t="s">
        <v>53</v>
      </c>
      <c r="W23" s="13" t="s">
        <v>17</v>
      </c>
      <c r="X23" s="13" t="s">
        <v>54</v>
      </c>
      <c r="Y23" s="13" t="s">
        <v>55</v>
      </c>
      <c r="Z23" s="13" t="s">
        <v>56</v>
      </c>
      <c r="AA23" s="13" t="s">
        <v>57</v>
      </c>
      <c r="AB23" s="13" t="s">
        <v>58</v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14"/>
      <c r="G24" s="15" t="str">
        <f aca="false">IF(M24&lt;&gt;"",M24,IF(L24="","",L24*Settings!$B$5*IF(F24="",1,F24)))</f>
        <v/>
      </c>
      <c r="H24" s="16"/>
      <c r="I24" s="16" t="str">
        <f aca="false">IF(OR(B24="",C24="",D24=""),"",IFERROR(INDEX(Settings!$B$17:$I$20,MATCH(B24,Settings!$A$17:$A$20,0),(MATCH(C24,Settings!$A$9:$A$12,0)-1)*2+IF(D24="W-2 / Employee",1,2)),""))</f>
        <v/>
      </c>
      <c r="J24" s="8" t="str">
        <f aca="false">IF(OR(A24="",$B$8=""),"",$B$8)</f>
        <v/>
      </c>
      <c r="K24" s="8" t="str">
        <f aca="false">IF(OR(A24="",$B$9=""),"",$B$9)</f>
        <v/>
      </c>
      <c r="L24" s="15" t="str">
        <f aca="false">IF(OR(A24="",IF(OR($B$14="Y",J24=""),$B$8,J24)="",IF(OR($B$14="Y",K24=""),$B$9,K24)=""),"",IFERROR(NETWORKDAYS(IF(OR($B$14="Y",J24=""),$B$8,J24),IF(OR($B$14="Y",K24=""),$B$9,K24),INDEX(Settings!$A$35:$D$74,0,MATCH(C24,Settings!$A$34:$D$34,0))),NETWORKDAYS(IF(OR($B$14="Y",J24=""),$B$8,J24),IF(OR($B$14="Y",K24=""),$B$9,K24))))</f>
        <v/>
      </c>
      <c r="M24" s="17"/>
      <c r="N24" s="18" t="n">
        <f aca="false">IF(OR(C24="",D24=""),0,IFERROR(INDEX(Settings!$B$9:$C$12,MATCH(C24,Settings!$A$9:$A$12,0),IF(D24="W-2 / Employee",1,2)),0))</f>
        <v>0</v>
      </c>
      <c r="O24" s="7" t="n">
        <f aca="false">IF(OR(G24="",H24=""),0,G24*H24)</f>
        <v>0</v>
      </c>
      <c r="P24" s="7" t="n">
        <f aca="false">IF(OR(G24="",I24=""),0,G24*I24)</f>
        <v>0</v>
      </c>
      <c r="Q24" s="7" t="n">
        <f aca="false">P24*N24</f>
        <v>0</v>
      </c>
      <c r="R24" s="7" t="n">
        <f aca="false">P24+Q24</f>
        <v>0</v>
      </c>
      <c r="S24" s="18" t="n">
        <f aca="false">IF(C24="",0,IFERROR(INDEX(Settings!$D$9:$D$12,MATCH(C24,Settings!$A$9:$A$12,0)),0))</f>
        <v>0</v>
      </c>
      <c r="T24" s="12" t="str">
        <f aca="false">IF(O24=0,"",(O24-R24)/O24)</f>
        <v/>
      </c>
      <c r="V24" s="21" t="str">
        <f aca="false">IF(Settings!A9="","",Settings!A9)</f>
        <v>US</v>
      </c>
      <c r="W24" s="7" t="n">
        <f aca="false">IF(V24="","",SUMIF($C$17:$C$36,V24,$P$17:$P$36))</f>
        <v>0</v>
      </c>
      <c r="X24" s="12" t="str">
        <f aca="false">IF(OR(V24="",$P$37=0),"",W24/$P$37)</f>
        <v/>
      </c>
      <c r="Y24" s="18" t="n">
        <f aca="false">IF(V24="","",Settings!D9)</f>
        <v>0.35</v>
      </c>
      <c r="Z24" s="7" t="str">
        <f aca="false">IF(OR(V24="",NOT(OR($B$4="Time &amp; materials",$B$4="Staff augmentation"))),"",SUMIF($C$17:$C$36,V24,$O$17:$O$36))</f>
        <v/>
      </c>
      <c r="AA24" s="12" t="str">
        <f aca="false">IF(OR(Z24="",Z24=0),"",(Z24-SUMIF($C$17:$C$36,V24,$R$17:$R$36))/Z24)</f>
        <v/>
      </c>
      <c r="AB24" s="5" t="str">
        <f aca="false">IF(AA24="","",IF(AA24&gt;=Y24,"OK","Under floor — review rates"))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14"/>
      <c r="G25" s="15" t="str">
        <f aca="false">IF(M25&lt;&gt;"",M25,IF(L25="","",L25*Settings!$B$5*IF(F25="",1,F25)))</f>
        <v/>
      </c>
      <c r="H25" s="16"/>
      <c r="I25" s="16" t="str">
        <f aca="false">IF(OR(B25="",C25="",D25=""),"",IFERROR(INDEX(Settings!$B$17:$I$20,MATCH(B25,Settings!$A$17:$A$20,0),(MATCH(C25,Settings!$A$9:$A$12,0)-1)*2+IF(D25="W-2 / Employee",1,2)),""))</f>
        <v/>
      </c>
      <c r="J25" s="8" t="str">
        <f aca="false">IF(OR(A25="",$B$8=""),"",$B$8)</f>
        <v/>
      </c>
      <c r="K25" s="8" t="str">
        <f aca="false">IF(OR(A25="",$B$9=""),"",$B$9)</f>
        <v/>
      </c>
      <c r="L25" s="15" t="str">
        <f aca="false">IF(OR(A25="",IF(OR($B$14="Y",J25=""),$B$8,J25)="",IF(OR($B$14="Y",K25=""),$B$9,K25)=""),"",IFERROR(NETWORKDAYS(IF(OR($B$14="Y",J25=""),$B$8,J25),IF(OR($B$14="Y",K25=""),$B$9,K25),INDEX(Settings!$A$35:$D$74,0,MATCH(C25,Settings!$A$34:$D$34,0))),NETWORKDAYS(IF(OR($B$14="Y",J25=""),$B$8,J25),IF(OR($B$14="Y",K25=""),$B$9,K25))))</f>
        <v/>
      </c>
      <c r="M25" s="17"/>
      <c r="N25" s="18" t="n">
        <f aca="false">IF(OR(C25="",D25=""),0,IFERROR(INDEX(Settings!$B$9:$C$12,MATCH(C25,Settings!$A$9:$A$12,0),IF(D25="W-2 / Employee",1,2)),0))</f>
        <v>0</v>
      </c>
      <c r="O25" s="7" t="n">
        <f aca="false">IF(OR(G25="",H25=""),0,G25*H25)</f>
        <v>0</v>
      </c>
      <c r="P25" s="7" t="n">
        <f aca="false">IF(OR(G25="",I25=""),0,G25*I25)</f>
        <v>0</v>
      </c>
      <c r="Q25" s="7" t="n">
        <f aca="false">P25*N25</f>
        <v>0</v>
      </c>
      <c r="R25" s="7" t="n">
        <f aca="false">P25+Q25</f>
        <v>0</v>
      </c>
      <c r="S25" s="18" t="n">
        <f aca="false">IF(C25="",0,IFERROR(INDEX(Settings!$D$9:$D$12,MATCH(C25,Settings!$A$9:$A$12,0)),0))</f>
        <v>0</v>
      </c>
      <c r="T25" s="12" t="str">
        <f aca="false">IF(O25=0,"",(O25-R25)/O25)</f>
        <v/>
      </c>
      <c r="V25" s="21" t="str">
        <f aca="false">IF(Settings!A10="","",Settings!A10)</f>
        <v>India</v>
      </c>
      <c r="W25" s="7" t="n">
        <f aca="false">IF(V25="","",SUMIF($C$17:$C$36,V25,$P$17:$P$36))</f>
        <v>0</v>
      </c>
      <c r="X25" s="12" t="str">
        <f aca="false">IF(OR(V25="",$P$37=0),"",W25/$P$37)</f>
        <v/>
      </c>
      <c r="Y25" s="18" t="n">
        <f aca="false">IF(V25="","",Settings!D10)</f>
        <v>0.5</v>
      </c>
      <c r="Z25" s="7" t="str">
        <f aca="false">IF(OR(V25="",NOT(OR($B$4="Time &amp; materials",$B$4="Staff augmentation"))),"",SUMIF($C$17:$C$36,V25,$O$17:$O$36))</f>
        <v/>
      </c>
      <c r="AA25" s="12" t="str">
        <f aca="false">IF(OR(Z25="",Z25=0),"",(Z25-SUMIF($C$17:$C$36,V25,$R$17:$R$36))/Z25)</f>
        <v/>
      </c>
      <c r="AB25" s="5" t="str">
        <f aca="false">IF(AA25="","",IF(AA25&gt;=Y25,"OK","Under floor — review rates"))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14"/>
      <c r="G26" s="15" t="str">
        <f aca="false">IF(M26&lt;&gt;"",M26,IF(L26="","",L26*Settings!$B$5*IF(F26="",1,F26)))</f>
        <v/>
      </c>
      <c r="H26" s="16"/>
      <c r="I26" s="16" t="str">
        <f aca="false">IF(OR(B26="",C26="",D26=""),"",IFERROR(INDEX(Settings!$B$17:$I$20,MATCH(B26,Settings!$A$17:$A$20,0),(MATCH(C26,Settings!$A$9:$A$12,0)-1)*2+IF(D26="W-2 / Employee",1,2)),""))</f>
        <v/>
      </c>
      <c r="J26" s="8" t="str">
        <f aca="false">IF(OR(A26="",$B$8=""),"",$B$8)</f>
        <v/>
      </c>
      <c r="K26" s="8" t="str">
        <f aca="false">IF(OR(A26="",$B$9=""),"",$B$9)</f>
        <v/>
      </c>
      <c r="L26" s="15" t="str">
        <f aca="false">IF(OR(A26="",IF(OR($B$14="Y",J26=""),$B$8,J26)="",IF(OR($B$14="Y",K26=""),$B$9,K26)=""),"",IFERROR(NETWORKDAYS(IF(OR($B$14="Y",J26=""),$B$8,J26),IF(OR($B$14="Y",K26=""),$B$9,K26),INDEX(Settings!$A$35:$D$74,0,MATCH(C26,Settings!$A$34:$D$34,0))),NETWORKDAYS(IF(OR($B$14="Y",J26=""),$B$8,J26),IF(OR($B$14="Y",K26=""),$B$9,K26))))</f>
        <v/>
      </c>
      <c r="M26" s="17"/>
      <c r="N26" s="18" t="n">
        <f aca="false">IF(OR(C26="",D26=""),0,IFERROR(INDEX(Settings!$B$9:$C$12,MATCH(C26,Settings!$A$9:$A$12,0),IF(D26="W-2 / Employee",1,2)),0))</f>
        <v>0</v>
      </c>
      <c r="O26" s="7" t="n">
        <f aca="false">IF(OR(G26="",H26=""),0,G26*H26)</f>
        <v>0</v>
      </c>
      <c r="P26" s="7" t="n">
        <f aca="false">IF(OR(G26="",I26=""),0,G26*I26)</f>
        <v>0</v>
      </c>
      <c r="Q26" s="7" t="n">
        <f aca="false">P26*N26</f>
        <v>0</v>
      </c>
      <c r="R26" s="7" t="n">
        <f aca="false">P26+Q26</f>
        <v>0</v>
      </c>
      <c r="S26" s="18" t="n">
        <f aca="false">IF(C26="",0,IFERROR(INDEX(Settings!$D$9:$D$12,MATCH(C26,Settings!$A$9:$A$12,0)),0))</f>
        <v>0</v>
      </c>
      <c r="T26" s="12" t="str">
        <f aca="false">IF(O26=0,"",(O26-R26)/O26)</f>
        <v/>
      </c>
      <c r="V26" s="21" t="str">
        <f aca="false">IF(Settings!A11="","",Settings!A11)</f>
        <v/>
      </c>
      <c r="W26" s="7" t="str">
        <f aca="false">IF(V26="","",SUMIF($C$17:$C$36,V26,$P$17:$P$36))</f>
        <v/>
      </c>
      <c r="X26" s="12" t="str">
        <f aca="false">IF(OR(V26="",$P$37=0),"",W26/$P$37)</f>
        <v/>
      </c>
      <c r="Y26" s="18" t="str">
        <f aca="false">IF(V26="","",Settings!D11)</f>
        <v/>
      </c>
      <c r="Z26" s="7" t="str">
        <f aca="false">IF(OR(V26="",NOT(OR($B$4="Time &amp; materials",$B$4="Staff augmentation"))),"",SUMIF($C$17:$C$36,V26,$O$17:$O$36))</f>
        <v/>
      </c>
      <c r="AA26" s="12" t="str">
        <f aca="false">IF(OR(Z26="",Z26=0),"",(Z26-SUMIF($C$17:$C$36,V26,$R$17:$R$36))/Z26)</f>
        <v/>
      </c>
      <c r="AB26" s="5" t="str">
        <f aca="false">IF(AA26="","",IF(AA26&gt;=Y26,"OK","Under floor — review rates"))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14"/>
      <c r="G27" s="15" t="str">
        <f aca="false">IF(M27&lt;&gt;"",M27,IF(L27="","",L27*Settings!$B$5*IF(F27="",1,F27)))</f>
        <v/>
      </c>
      <c r="H27" s="16"/>
      <c r="I27" s="16" t="str">
        <f aca="false">IF(OR(B27="",C27="",D27=""),"",IFERROR(INDEX(Settings!$B$17:$I$20,MATCH(B27,Settings!$A$17:$A$20,0),(MATCH(C27,Settings!$A$9:$A$12,0)-1)*2+IF(D27="W-2 / Employee",1,2)),""))</f>
        <v/>
      </c>
      <c r="J27" s="8" t="str">
        <f aca="false">IF(OR(A27="",$B$8=""),"",$B$8)</f>
        <v/>
      </c>
      <c r="K27" s="8" t="str">
        <f aca="false">IF(OR(A27="",$B$9=""),"",$B$9)</f>
        <v/>
      </c>
      <c r="L27" s="15" t="str">
        <f aca="false">IF(OR(A27="",IF(OR($B$14="Y",J27=""),$B$8,J27)="",IF(OR($B$14="Y",K27=""),$B$9,K27)=""),"",IFERROR(NETWORKDAYS(IF(OR($B$14="Y",J27=""),$B$8,J27),IF(OR($B$14="Y",K27=""),$B$9,K27),INDEX(Settings!$A$35:$D$74,0,MATCH(C27,Settings!$A$34:$D$34,0))),NETWORKDAYS(IF(OR($B$14="Y",J27=""),$B$8,J27),IF(OR($B$14="Y",K27=""),$B$9,K27))))</f>
        <v/>
      </c>
      <c r="M27" s="17"/>
      <c r="N27" s="18" t="n">
        <f aca="false">IF(OR(C27="",D27=""),0,IFERROR(INDEX(Settings!$B$9:$C$12,MATCH(C27,Settings!$A$9:$A$12,0),IF(D27="W-2 / Employee",1,2)),0))</f>
        <v>0</v>
      </c>
      <c r="O27" s="7" t="n">
        <f aca="false">IF(OR(G27="",H27=""),0,G27*H27)</f>
        <v>0</v>
      </c>
      <c r="P27" s="7" t="n">
        <f aca="false">IF(OR(G27="",I27=""),0,G27*I27)</f>
        <v>0</v>
      </c>
      <c r="Q27" s="7" t="n">
        <f aca="false">P27*N27</f>
        <v>0</v>
      </c>
      <c r="R27" s="7" t="n">
        <f aca="false">P27+Q27</f>
        <v>0</v>
      </c>
      <c r="S27" s="18" t="n">
        <f aca="false">IF(C27="",0,IFERROR(INDEX(Settings!$D$9:$D$12,MATCH(C27,Settings!$A$9:$A$12,0)),0))</f>
        <v>0</v>
      </c>
      <c r="T27" s="12" t="str">
        <f aca="false">IF(O27=0,"",(O27-R27)/O27)</f>
        <v/>
      </c>
      <c r="V27" s="21" t="str">
        <f aca="false">IF(Settings!A12="","",Settings!A12)</f>
        <v/>
      </c>
      <c r="W27" s="7" t="str">
        <f aca="false">IF(V27="","",SUMIF($C$17:$C$36,V27,$P$17:$P$36))</f>
        <v/>
      </c>
      <c r="X27" s="12" t="str">
        <f aca="false">IF(OR(V27="",$P$37=0),"",W27/$P$37)</f>
        <v/>
      </c>
      <c r="Y27" s="18" t="str">
        <f aca="false">IF(V27="","",Settings!D12)</f>
        <v/>
      </c>
      <c r="Z27" s="7" t="str">
        <f aca="false">IF(OR(V27="",NOT(OR($B$4="Time &amp; materials",$B$4="Staff augmentation"))),"",SUMIF($C$17:$C$36,V27,$O$17:$O$36))</f>
        <v/>
      </c>
      <c r="AA27" s="12" t="str">
        <f aca="false">IF(OR(Z27="",Z27=0),"",(Z27-SUMIF($C$17:$C$36,V27,$R$17:$R$36))/Z27)</f>
        <v/>
      </c>
      <c r="AB27" s="5" t="str">
        <f aca="false">IF(AA27="","",IF(AA27&gt;=Y27,"OK","Under floor — review rates"))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14"/>
      <c r="G28" s="15" t="str">
        <f aca="false">IF(M28&lt;&gt;"",M28,IF(L28="","",L28*Settings!$B$5*IF(F28="",1,F28)))</f>
        <v/>
      </c>
      <c r="H28" s="16"/>
      <c r="I28" s="16" t="str">
        <f aca="false">IF(OR(B28="",C28="",D28=""),"",IFERROR(INDEX(Settings!$B$17:$I$20,MATCH(B28,Settings!$A$17:$A$20,0),(MATCH(C28,Settings!$A$9:$A$12,0)-1)*2+IF(D28="W-2 / Employee",1,2)),""))</f>
        <v/>
      </c>
      <c r="J28" s="8" t="str">
        <f aca="false">IF(OR(A28="",$B$8=""),"",$B$8)</f>
        <v/>
      </c>
      <c r="K28" s="8" t="str">
        <f aca="false">IF(OR(A28="",$B$9=""),"",$B$9)</f>
        <v/>
      </c>
      <c r="L28" s="15" t="str">
        <f aca="false">IF(OR(A28="",IF(OR($B$14="Y",J28=""),$B$8,J28)="",IF(OR($B$14="Y",K28=""),$B$9,K28)=""),"",IFERROR(NETWORKDAYS(IF(OR($B$14="Y",J28=""),$B$8,J28),IF(OR($B$14="Y",K28=""),$B$9,K28),INDEX(Settings!$A$35:$D$74,0,MATCH(C28,Settings!$A$34:$D$34,0))),NETWORKDAYS(IF(OR($B$14="Y",J28=""),$B$8,J28),IF(OR($B$14="Y",K28=""),$B$9,K28))))</f>
        <v/>
      </c>
      <c r="M28" s="17"/>
      <c r="N28" s="18" t="n">
        <f aca="false">IF(OR(C28="",D28=""),0,IFERROR(INDEX(Settings!$B$9:$C$12,MATCH(C28,Settings!$A$9:$A$12,0),IF(D28="W-2 / Employee",1,2)),0))</f>
        <v>0</v>
      </c>
      <c r="O28" s="7" t="n">
        <f aca="false">IF(OR(G28="",H28=""),0,G28*H28)</f>
        <v>0</v>
      </c>
      <c r="P28" s="7" t="n">
        <f aca="false">IF(OR(G28="",I28=""),0,G28*I28)</f>
        <v>0</v>
      </c>
      <c r="Q28" s="7" t="n">
        <f aca="false">P28*N28</f>
        <v>0</v>
      </c>
      <c r="R28" s="7" t="n">
        <f aca="false">P28+Q28</f>
        <v>0</v>
      </c>
      <c r="S28" s="18" t="n">
        <f aca="false">IF(C28="",0,IFERROR(INDEX(Settings!$D$9:$D$12,MATCH(C28,Settings!$A$9:$A$12,0)),0))</f>
        <v>0</v>
      </c>
      <c r="T28" s="12" t="str">
        <f aca="false">IF(O28=0,"",(O28-R28)/O28)</f>
        <v/>
      </c>
      <c r="V28" s="2" t="s">
        <v>59</v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14"/>
      <c r="G29" s="15" t="str">
        <f aca="false">IF(M29&lt;&gt;"",M29,IF(L29="","",L29*Settings!$B$5*IF(F29="",1,F29)))</f>
        <v/>
      </c>
      <c r="H29" s="16"/>
      <c r="I29" s="16" t="str">
        <f aca="false">IF(OR(B29="",C29="",D29=""),"",IFERROR(INDEX(Settings!$B$17:$I$20,MATCH(B29,Settings!$A$17:$A$20,0),(MATCH(C29,Settings!$A$9:$A$12,0)-1)*2+IF(D29="W-2 / Employee",1,2)),""))</f>
        <v/>
      </c>
      <c r="J29" s="8" t="str">
        <f aca="false">IF(OR(A29="",$B$8=""),"",$B$8)</f>
        <v/>
      </c>
      <c r="K29" s="8" t="str">
        <f aca="false">IF(OR(A29="",$B$9=""),"",$B$9)</f>
        <v/>
      </c>
      <c r="L29" s="15" t="str">
        <f aca="false">IF(OR(A29="",IF(OR($B$14="Y",J29=""),$B$8,J29)="",IF(OR($B$14="Y",K29=""),$B$9,K29)=""),"",IFERROR(NETWORKDAYS(IF(OR($B$14="Y",J29=""),$B$8,J29),IF(OR($B$14="Y",K29=""),$B$9,K29),INDEX(Settings!$A$35:$D$74,0,MATCH(C29,Settings!$A$34:$D$34,0))),NETWORKDAYS(IF(OR($B$14="Y",J29=""),$B$8,J29),IF(OR($B$14="Y",K29=""),$B$9,K29))))</f>
        <v/>
      </c>
      <c r="M29" s="17"/>
      <c r="N29" s="18" t="n">
        <f aca="false">IF(OR(C29="",D29=""),0,IFERROR(INDEX(Settings!$B$9:$C$12,MATCH(C29,Settings!$A$9:$A$12,0),IF(D29="W-2 / Employee",1,2)),0))</f>
        <v>0</v>
      </c>
      <c r="O29" s="7" t="n">
        <f aca="false">IF(OR(G29="",H29=""),0,G29*H29)</f>
        <v>0</v>
      </c>
      <c r="P29" s="7" t="n">
        <f aca="false">IF(OR(G29="",I29=""),0,G29*I29)</f>
        <v>0</v>
      </c>
      <c r="Q29" s="7" t="n">
        <f aca="false">P29*N29</f>
        <v>0</v>
      </c>
      <c r="R29" s="7" t="n">
        <f aca="false">P29+Q29</f>
        <v>0</v>
      </c>
      <c r="S29" s="18" t="n">
        <f aca="false">IF(C29="",0,IFERROR(INDEX(Settings!$D$9:$D$12,MATCH(C29,Settings!$A$9:$A$12,0)),0))</f>
        <v>0</v>
      </c>
      <c r="T29" s="12" t="str">
        <f aca="false">IF(O29=0,"",(O29-R29)/O29)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14"/>
      <c r="G30" s="15" t="str">
        <f aca="false">IF(M30&lt;&gt;"",M30,IF(L30="","",L30*Settings!$B$5*IF(F30="",1,F30)))</f>
        <v/>
      </c>
      <c r="H30" s="16"/>
      <c r="I30" s="16" t="str">
        <f aca="false">IF(OR(B30="",C30="",D30=""),"",IFERROR(INDEX(Settings!$B$17:$I$20,MATCH(B30,Settings!$A$17:$A$20,0),(MATCH(C30,Settings!$A$9:$A$12,0)-1)*2+IF(D30="W-2 / Employee",1,2)),""))</f>
        <v/>
      </c>
      <c r="J30" s="8" t="str">
        <f aca="false">IF(OR(A30="",$B$8=""),"",$B$8)</f>
        <v/>
      </c>
      <c r="K30" s="8" t="str">
        <f aca="false">IF(OR(A30="",$B$9=""),"",$B$9)</f>
        <v/>
      </c>
      <c r="L30" s="15" t="str">
        <f aca="false">IF(OR(A30="",IF(OR($B$14="Y",J30=""),$B$8,J30)="",IF(OR($B$14="Y",K30=""),$B$9,K30)=""),"",IFERROR(NETWORKDAYS(IF(OR($B$14="Y",J30=""),$B$8,J30),IF(OR($B$14="Y",K30=""),$B$9,K30),INDEX(Settings!$A$35:$D$74,0,MATCH(C30,Settings!$A$34:$D$34,0))),NETWORKDAYS(IF(OR($B$14="Y",J30=""),$B$8,J30),IF(OR($B$14="Y",K30=""),$B$9,K30))))</f>
        <v/>
      </c>
      <c r="M30" s="17"/>
      <c r="N30" s="18" t="n">
        <f aca="false">IF(OR(C30="",D30=""),0,IFERROR(INDEX(Settings!$B$9:$C$12,MATCH(C30,Settings!$A$9:$A$12,0),IF(D30="W-2 / Employee",1,2)),0))</f>
        <v>0</v>
      </c>
      <c r="O30" s="7" t="n">
        <f aca="false">IF(OR(G30="",H30=""),0,G30*H30)</f>
        <v>0</v>
      </c>
      <c r="P30" s="7" t="n">
        <f aca="false">IF(OR(G30="",I30=""),0,G30*I30)</f>
        <v>0</v>
      </c>
      <c r="Q30" s="7" t="n">
        <f aca="false">P30*N30</f>
        <v>0</v>
      </c>
      <c r="R30" s="7" t="n">
        <f aca="false">P30+Q30</f>
        <v>0</v>
      </c>
      <c r="S30" s="18" t="n">
        <f aca="false">IF(C30="",0,IFERROR(INDEX(Settings!$D$9:$D$12,MATCH(C30,Settings!$A$9:$A$12,0)),0))</f>
        <v>0</v>
      </c>
      <c r="T30" s="12" t="str">
        <f aca="false">IF(O30=0,"",(O30-R30)/O30)</f>
        <v/>
      </c>
      <c r="V30" s="3" t="s">
        <v>60</v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14"/>
      <c r="G31" s="15" t="str">
        <f aca="false">IF(M31&lt;&gt;"",M31,IF(L31="","",L31*Settings!$B$5*IF(F31="",1,F31)))</f>
        <v/>
      </c>
      <c r="H31" s="16"/>
      <c r="I31" s="16" t="str">
        <f aca="false">IF(OR(B31="",C31="",D31=""),"",IFERROR(INDEX(Settings!$B$17:$I$20,MATCH(B31,Settings!$A$17:$A$20,0),(MATCH(C31,Settings!$A$9:$A$12,0)-1)*2+IF(D31="W-2 / Employee",1,2)),""))</f>
        <v/>
      </c>
      <c r="J31" s="8" t="str">
        <f aca="false">IF(OR(A31="",$B$8=""),"",$B$8)</f>
        <v/>
      </c>
      <c r="K31" s="8" t="str">
        <f aca="false">IF(OR(A31="",$B$9=""),"",$B$9)</f>
        <v/>
      </c>
      <c r="L31" s="15" t="str">
        <f aca="false">IF(OR(A31="",IF(OR($B$14="Y",J31=""),$B$8,J31)="",IF(OR($B$14="Y",K31=""),$B$9,K31)=""),"",IFERROR(NETWORKDAYS(IF(OR($B$14="Y",J31=""),$B$8,J31),IF(OR($B$14="Y",K31=""),$B$9,K31),INDEX(Settings!$A$35:$D$74,0,MATCH(C31,Settings!$A$34:$D$34,0))),NETWORKDAYS(IF(OR($B$14="Y",J31=""),$B$8,J31),IF(OR($B$14="Y",K31=""),$B$9,K31))))</f>
        <v/>
      </c>
      <c r="M31" s="17"/>
      <c r="N31" s="18" t="n">
        <f aca="false">IF(OR(C31="",D31=""),0,IFERROR(INDEX(Settings!$B$9:$C$12,MATCH(C31,Settings!$A$9:$A$12,0),IF(D31="W-2 / Employee",1,2)),0))</f>
        <v>0</v>
      </c>
      <c r="O31" s="7" t="n">
        <f aca="false">IF(OR(G31="",H31=""),0,G31*H31)</f>
        <v>0</v>
      </c>
      <c r="P31" s="7" t="n">
        <f aca="false">IF(OR(G31="",I31=""),0,G31*I31)</f>
        <v>0</v>
      </c>
      <c r="Q31" s="7" t="n">
        <f aca="false">P31*N31</f>
        <v>0</v>
      </c>
      <c r="R31" s="7" t="n">
        <f aca="false">P31+Q31</f>
        <v>0</v>
      </c>
      <c r="S31" s="18" t="n">
        <f aca="false">IF(C31="",0,IFERROR(INDEX(Settings!$D$9:$D$12,MATCH(C31,Settings!$A$9:$A$12,0)),0))</f>
        <v>0</v>
      </c>
      <c r="T31" s="12" t="str">
        <f aca="false">IF(O31=0,"",(O31-R31)/O31)</f>
        <v/>
      </c>
      <c r="V31" s="13" t="s">
        <v>61</v>
      </c>
      <c r="W31" s="13" t="s">
        <v>62</v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14"/>
      <c r="G32" s="15" t="str">
        <f aca="false">IF(M32&lt;&gt;"",M32,IF(L32="","",L32*Settings!$B$5*IF(F32="",1,F32)))</f>
        <v/>
      </c>
      <c r="H32" s="16"/>
      <c r="I32" s="16" t="str">
        <f aca="false">IF(OR(B32="",C32="",D32=""),"",IFERROR(INDEX(Settings!$B$17:$I$20,MATCH(B32,Settings!$A$17:$A$20,0),(MATCH(C32,Settings!$A$9:$A$12,0)-1)*2+IF(D32="W-2 / Employee",1,2)),""))</f>
        <v/>
      </c>
      <c r="J32" s="8" t="str">
        <f aca="false">IF(OR(A32="",$B$8=""),"",$B$8)</f>
        <v/>
      </c>
      <c r="K32" s="8" t="str">
        <f aca="false">IF(OR(A32="",$B$9=""),"",$B$9)</f>
        <v/>
      </c>
      <c r="L32" s="15" t="str">
        <f aca="false">IF(OR(A32="",IF(OR($B$14="Y",J32=""),$B$8,J32)="",IF(OR($B$14="Y",K32=""),$B$9,K32)=""),"",IFERROR(NETWORKDAYS(IF(OR($B$14="Y",J32=""),$B$8,J32),IF(OR($B$14="Y",K32=""),$B$9,K32),INDEX(Settings!$A$35:$D$74,0,MATCH(C32,Settings!$A$34:$D$34,0))),NETWORKDAYS(IF(OR($B$14="Y",J32=""),$B$8,J32),IF(OR($B$14="Y",K32=""),$B$9,K32))))</f>
        <v/>
      </c>
      <c r="M32" s="17"/>
      <c r="N32" s="18" t="n">
        <f aca="false">IF(OR(C32="",D32=""),0,IFERROR(INDEX(Settings!$B$9:$C$12,MATCH(C32,Settings!$A$9:$A$12,0),IF(D32="W-2 / Employee",1,2)),0))</f>
        <v>0</v>
      </c>
      <c r="O32" s="7" t="n">
        <f aca="false">IF(OR(G32="",H32=""),0,G32*H32)</f>
        <v>0</v>
      </c>
      <c r="P32" s="7" t="n">
        <f aca="false">IF(OR(G32="",I32=""),0,G32*I32)</f>
        <v>0</v>
      </c>
      <c r="Q32" s="7" t="n">
        <f aca="false">P32*N32</f>
        <v>0</v>
      </c>
      <c r="R32" s="7" t="n">
        <f aca="false">P32+Q32</f>
        <v>0</v>
      </c>
      <c r="S32" s="18" t="n">
        <f aca="false">IF(C32="",0,IFERROR(INDEX(Settings!$D$9:$D$12,MATCH(C32,Settings!$A$9:$A$12,0)),0))</f>
        <v>0</v>
      </c>
      <c r="T32" s="12" t="str">
        <f aca="false">IF(O32=0,"",(O32-R32)/O32)</f>
        <v/>
      </c>
      <c r="V32" s="4"/>
      <c r="W32" s="22" t="str">
        <f aca="false">IF(V32="","",COUNTIFS($E$17:$E$36,V32,$A$17:$A$36,"&lt;&gt;"))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14"/>
      <c r="G33" s="15" t="str">
        <f aca="false">IF(M33&lt;&gt;"",M33,IF(L33="","",L33*Settings!$B$5*IF(F33="",1,F33)))</f>
        <v/>
      </c>
      <c r="H33" s="16"/>
      <c r="I33" s="16" t="str">
        <f aca="false">IF(OR(B33="",C33="",D33=""),"",IFERROR(INDEX(Settings!$B$17:$I$20,MATCH(B33,Settings!$A$17:$A$20,0),(MATCH(C33,Settings!$A$9:$A$12,0)-1)*2+IF(D33="W-2 / Employee",1,2)),""))</f>
        <v/>
      </c>
      <c r="J33" s="8" t="str">
        <f aca="false">IF(OR(A33="",$B$8=""),"",$B$8)</f>
        <v/>
      </c>
      <c r="K33" s="8" t="str">
        <f aca="false">IF(OR(A33="",$B$9=""),"",$B$9)</f>
        <v/>
      </c>
      <c r="L33" s="15" t="str">
        <f aca="false">IF(OR(A33="",IF(OR($B$14="Y",J33=""),$B$8,J33)="",IF(OR($B$14="Y",K33=""),$B$9,K33)=""),"",IFERROR(NETWORKDAYS(IF(OR($B$14="Y",J33=""),$B$8,J33),IF(OR($B$14="Y",K33=""),$B$9,K33),INDEX(Settings!$A$35:$D$74,0,MATCH(C33,Settings!$A$34:$D$34,0))),NETWORKDAYS(IF(OR($B$14="Y",J33=""),$B$8,J33),IF(OR($B$14="Y",K33=""),$B$9,K33))))</f>
        <v/>
      </c>
      <c r="M33" s="17"/>
      <c r="N33" s="18" t="n">
        <f aca="false">IF(OR(C33="",D33=""),0,IFERROR(INDEX(Settings!$B$9:$C$12,MATCH(C33,Settings!$A$9:$A$12,0),IF(D33="W-2 / Employee",1,2)),0))</f>
        <v>0</v>
      </c>
      <c r="O33" s="7" t="n">
        <f aca="false">IF(OR(G33="",H33=""),0,G33*H33)</f>
        <v>0</v>
      </c>
      <c r="P33" s="7" t="n">
        <f aca="false">IF(OR(G33="",I33=""),0,G33*I33)</f>
        <v>0</v>
      </c>
      <c r="Q33" s="7" t="n">
        <f aca="false">P33*N33</f>
        <v>0</v>
      </c>
      <c r="R33" s="7" t="n">
        <f aca="false">P33+Q33</f>
        <v>0</v>
      </c>
      <c r="S33" s="18" t="n">
        <f aca="false">IF(C33="",0,IFERROR(INDEX(Settings!$D$9:$D$12,MATCH(C33,Settings!$A$9:$A$12,0)),0))</f>
        <v>0</v>
      </c>
      <c r="T33" s="12" t="str">
        <f aca="false">IF(O33=0,"",(O33-R33)/O33)</f>
        <v/>
      </c>
      <c r="V33" s="4"/>
      <c r="W33" s="22" t="str">
        <f aca="false">IF(V33="","",COUNTIFS($E$17:$E$36,V33,$A$17:$A$36,"&lt;&gt;"))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14"/>
      <c r="G34" s="15" t="str">
        <f aca="false">IF(M34&lt;&gt;"",M34,IF(L34="","",L34*Settings!$B$5*IF(F34="",1,F34)))</f>
        <v/>
      </c>
      <c r="H34" s="16"/>
      <c r="I34" s="16" t="str">
        <f aca="false">IF(OR(B34="",C34="",D34=""),"",IFERROR(INDEX(Settings!$B$17:$I$20,MATCH(B34,Settings!$A$17:$A$20,0),(MATCH(C34,Settings!$A$9:$A$12,0)-1)*2+IF(D34="W-2 / Employee",1,2)),""))</f>
        <v/>
      </c>
      <c r="J34" s="8" t="str">
        <f aca="false">IF(OR(A34="",$B$8=""),"",$B$8)</f>
        <v/>
      </c>
      <c r="K34" s="8" t="str">
        <f aca="false">IF(OR(A34="",$B$9=""),"",$B$9)</f>
        <v/>
      </c>
      <c r="L34" s="15" t="str">
        <f aca="false">IF(OR(A34="",IF(OR($B$14="Y",J34=""),$B$8,J34)="",IF(OR($B$14="Y",K34=""),$B$9,K34)=""),"",IFERROR(NETWORKDAYS(IF(OR($B$14="Y",J34=""),$B$8,J34),IF(OR($B$14="Y",K34=""),$B$9,K34),INDEX(Settings!$A$35:$D$74,0,MATCH(C34,Settings!$A$34:$D$34,0))),NETWORKDAYS(IF(OR($B$14="Y",J34=""),$B$8,J34),IF(OR($B$14="Y",K34=""),$B$9,K34))))</f>
        <v/>
      </c>
      <c r="M34" s="17"/>
      <c r="N34" s="18" t="n">
        <f aca="false">IF(OR(C34="",D34=""),0,IFERROR(INDEX(Settings!$B$9:$C$12,MATCH(C34,Settings!$A$9:$A$12,0),IF(D34="W-2 / Employee",1,2)),0))</f>
        <v>0</v>
      </c>
      <c r="O34" s="7" t="n">
        <f aca="false">IF(OR(G34="",H34=""),0,G34*H34)</f>
        <v>0</v>
      </c>
      <c r="P34" s="7" t="n">
        <f aca="false">IF(OR(G34="",I34=""),0,G34*I34)</f>
        <v>0</v>
      </c>
      <c r="Q34" s="7" t="n">
        <f aca="false">P34*N34</f>
        <v>0</v>
      </c>
      <c r="R34" s="7" t="n">
        <f aca="false">P34+Q34</f>
        <v>0</v>
      </c>
      <c r="S34" s="18" t="n">
        <f aca="false">IF(C34="",0,IFERROR(INDEX(Settings!$D$9:$D$12,MATCH(C34,Settings!$A$9:$A$12,0)),0))</f>
        <v>0</v>
      </c>
      <c r="T34" s="12" t="str">
        <f aca="false">IF(O34=0,"",(O34-R34)/O34)</f>
        <v/>
      </c>
      <c r="V34" s="4"/>
      <c r="W34" s="22" t="str">
        <f aca="false">IF(V34="","",COUNTIFS($E$17:$E$36,V34,$A$17:$A$36,"&lt;&gt;"))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14"/>
      <c r="G35" s="15" t="str">
        <f aca="false">IF(M35&lt;&gt;"",M35,IF(L35="","",L35*Settings!$B$5*IF(F35="",1,F35)))</f>
        <v/>
      </c>
      <c r="H35" s="16"/>
      <c r="I35" s="16" t="str">
        <f aca="false">IF(OR(B35="",C35="",D35=""),"",IFERROR(INDEX(Settings!$B$17:$I$20,MATCH(B35,Settings!$A$17:$A$20,0),(MATCH(C35,Settings!$A$9:$A$12,0)-1)*2+IF(D35="W-2 / Employee",1,2)),""))</f>
        <v/>
      </c>
      <c r="J35" s="8" t="str">
        <f aca="false">IF(OR(A35="",$B$8=""),"",$B$8)</f>
        <v/>
      </c>
      <c r="K35" s="8" t="str">
        <f aca="false">IF(OR(A35="",$B$9=""),"",$B$9)</f>
        <v/>
      </c>
      <c r="L35" s="15" t="str">
        <f aca="false">IF(OR(A35="",IF(OR($B$14="Y",J35=""),$B$8,J35)="",IF(OR($B$14="Y",K35=""),$B$9,K35)=""),"",IFERROR(NETWORKDAYS(IF(OR($B$14="Y",J35=""),$B$8,J35),IF(OR($B$14="Y",K35=""),$B$9,K35),INDEX(Settings!$A$35:$D$74,0,MATCH(C35,Settings!$A$34:$D$34,0))),NETWORKDAYS(IF(OR($B$14="Y",J35=""),$B$8,J35),IF(OR($B$14="Y",K35=""),$B$9,K35))))</f>
        <v/>
      </c>
      <c r="M35" s="17"/>
      <c r="N35" s="18" t="n">
        <f aca="false">IF(OR(C35="",D35=""),0,IFERROR(INDEX(Settings!$B$9:$C$12,MATCH(C35,Settings!$A$9:$A$12,0),IF(D35="W-2 / Employee",1,2)),0))</f>
        <v>0</v>
      </c>
      <c r="O35" s="7" t="n">
        <f aca="false">IF(OR(G35="",H35=""),0,G35*H35)</f>
        <v>0</v>
      </c>
      <c r="P35" s="7" t="n">
        <f aca="false">IF(OR(G35="",I35=""),0,G35*I35)</f>
        <v>0</v>
      </c>
      <c r="Q35" s="7" t="n">
        <f aca="false">P35*N35</f>
        <v>0</v>
      </c>
      <c r="R35" s="7" t="n">
        <f aca="false">P35+Q35</f>
        <v>0</v>
      </c>
      <c r="S35" s="18" t="n">
        <f aca="false">IF(C35="",0,IFERROR(INDEX(Settings!$D$9:$D$12,MATCH(C35,Settings!$A$9:$A$12,0)),0))</f>
        <v>0</v>
      </c>
      <c r="T35" s="12" t="str">
        <f aca="false">IF(O35=0,"",(O35-R35)/O35)</f>
        <v/>
      </c>
      <c r="V35" s="4"/>
      <c r="W35" s="22" t="str">
        <f aca="false">IF(V35="","",COUNTIFS($E$17:$E$36,V35,$A$17:$A$36,"&lt;&gt;"))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14"/>
      <c r="G36" s="15" t="str">
        <f aca="false">IF(M36&lt;&gt;"",M36,IF(L36="","",L36*Settings!$B$5*IF(F36="",1,F36)))</f>
        <v/>
      </c>
      <c r="H36" s="16"/>
      <c r="I36" s="16" t="str">
        <f aca="false">IF(OR(B36="",C36="",D36=""),"",IFERROR(INDEX(Settings!$B$17:$I$20,MATCH(B36,Settings!$A$17:$A$20,0),(MATCH(C36,Settings!$A$9:$A$12,0)-1)*2+IF(D36="W-2 / Employee",1,2)),""))</f>
        <v/>
      </c>
      <c r="J36" s="8" t="str">
        <f aca="false">IF(OR(A36="",$B$8=""),"",$B$8)</f>
        <v/>
      </c>
      <c r="K36" s="8" t="str">
        <f aca="false">IF(OR(A36="",$B$9=""),"",$B$9)</f>
        <v/>
      </c>
      <c r="L36" s="15" t="str">
        <f aca="false">IF(OR(A36="",IF(OR($B$14="Y",J36=""),$B$8,J36)="",IF(OR($B$14="Y",K36=""),$B$9,K36)=""),"",IFERROR(NETWORKDAYS(IF(OR($B$14="Y",J36=""),$B$8,J36),IF(OR($B$14="Y",K36=""),$B$9,K36),INDEX(Settings!$A$35:$D$74,0,MATCH(C36,Settings!$A$34:$D$34,0))),NETWORKDAYS(IF(OR($B$14="Y",J36=""),$B$8,J36),IF(OR($B$14="Y",K36=""),$B$9,K36))))</f>
        <v/>
      </c>
      <c r="M36" s="17"/>
      <c r="N36" s="18" t="n">
        <f aca="false">IF(OR(C36="",D36=""),0,IFERROR(INDEX(Settings!$B$9:$C$12,MATCH(C36,Settings!$A$9:$A$12,0),IF(D36="W-2 / Employee",1,2)),0))</f>
        <v>0</v>
      </c>
      <c r="O36" s="7" t="n">
        <f aca="false">IF(OR(G36="",H36=""),0,G36*H36)</f>
        <v>0</v>
      </c>
      <c r="P36" s="7" t="n">
        <f aca="false">IF(OR(G36="",I36=""),0,G36*I36)</f>
        <v>0</v>
      </c>
      <c r="Q36" s="7" t="n">
        <f aca="false">P36*N36</f>
        <v>0</v>
      </c>
      <c r="R36" s="7" t="n">
        <f aca="false">P36+Q36</f>
        <v>0</v>
      </c>
      <c r="S36" s="18" t="n">
        <f aca="false">IF(C36="",0,IFERROR(INDEX(Settings!$D$9:$D$12,MATCH(C36,Settings!$A$9:$A$12,0)),0))</f>
        <v>0</v>
      </c>
      <c r="T36" s="12" t="str">
        <f aca="false">IF(O36=0,"",(O36-R36)/O36)</f>
        <v/>
      </c>
      <c r="V36" s="4"/>
      <c r="W36" s="22" t="str">
        <f aca="false">IF(V36="","",COUNTIFS($E$17:$E$36,V36,$A$17:$A$36,"&lt;&gt;"))</f>
        <v/>
      </c>
    </row>
    <row r="37" customFormat="false" ht="15" hidden="false" customHeight="false" outlineLevel="0" collapsed="false">
      <c r="A37" s="23" t="s">
        <v>63</v>
      </c>
      <c r="B37" s="23"/>
      <c r="C37" s="23"/>
      <c r="D37" s="23"/>
      <c r="E37" s="23"/>
      <c r="F37" s="23"/>
      <c r="G37" s="24" t="n">
        <f aca="false">SUM(G17:G36)</f>
        <v>0</v>
      </c>
      <c r="H37" s="23"/>
      <c r="I37" s="23"/>
      <c r="J37" s="23"/>
      <c r="K37" s="23"/>
      <c r="L37" s="23"/>
      <c r="M37" s="23"/>
      <c r="N37" s="23"/>
      <c r="O37" s="25" t="n">
        <f aca="false">SUM(O17:O36)</f>
        <v>0</v>
      </c>
      <c r="P37" s="25" t="n">
        <f aca="false">SUM(P17:P36)</f>
        <v>0</v>
      </c>
      <c r="Q37" s="25" t="n">
        <f aca="false">SUM(Q17:Q36)</f>
        <v>0</v>
      </c>
      <c r="R37" s="25" t="n">
        <f aca="false">SUM(R17:R36)</f>
        <v>0</v>
      </c>
      <c r="S37" s="23"/>
      <c r="T37" s="26" t="str">
        <f aca="false">IF(O37=0,"",(O37-R37)/O37)</f>
        <v/>
      </c>
      <c r="V37" s="4"/>
      <c r="W37" s="22" t="str">
        <f aca="false">IF(V37="","",COUNTIFS($E$17:$E$36,V37,$A$17:$A$36,"&lt;&gt;"))</f>
        <v/>
      </c>
    </row>
    <row r="38" customFormat="false" ht="15" hidden="false" customHeight="false" outlineLevel="0" collapsed="false">
      <c r="V38" s="4"/>
      <c r="W38" s="22" t="str">
        <f aca="false">IF(V38="","",COUNTIFS($E$17:$E$36,V38,$A$17:$A$36,"&lt;&gt;"))</f>
        <v/>
      </c>
    </row>
    <row r="39" customFormat="false" ht="15" hidden="false" customHeight="false" outlineLevel="0" collapsed="false">
      <c r="A39" s="3" t="s">
        <v>64</v>
      </c>
      <c r="V39" s="4"/>
      <c r="W39" s="22" t="str">
        <f aca="false">IF(V39="","",COUNTIFS($E$17:$E$36,V39,$A$17:$A$36,"&lt;&gt;"))</f>
        <v/>
      </c>
    </row>
    <row r="40" customFormat="false" ht="48" hidden="false" customHeight="true" outlineLevel="0" collapsed="false">
      <c r="A40" s="13" t="s">
        <v>65</v>
      </c>
      <c r="B40" s="13" t="s">
        <v>66</v>
      </c>
      <c r="C40" s="13" t="s">
        <v>53</v>
      </c>
      <c r="D40" s="13" t="s">
        <v>67</v>
      </c>
      <c r="E40" s="13" t="s">
        <v>68</v>
      </c>
      <c r="F40" s="13" t="s">
        <v>69</v>
      </c>
      <c r="G40" s="13" t="s">
        <v>70</v>
      </c>
      <c r="H40" s="13" t="s">
        <v>71</v>
      </c>
      <c r="I40" s="13" t="s">
        <v>58</v>
      </c>
      <c r="V40" s="2" t="s">
        <v>72</v>
      </c>
      <c r="W40" s="22" t="n">
        <f aca="false">COUNTIFS($E$17:$E$36,"",$A$17:$A$36,"&lt;&gt;")</f>
        <v>0</v>
      </c>
    </row>
    <row r="41" customFormat="false" ht="15" hidden="false" customHeight="false" outlineLevel="0" collapsed="false">
      <c r="A41" s="4"/>
      <c r="B41" s="4"/>
      <c r="C41" s="4"/>
      <c r="D41" s="10"/>
      <c r="E41" s="4"/>
      <c r="F41" s="4"/>
      <c r="G41" s="7" t="n">
        <f aca="false">IF(OR($B$13&lt;&gt;"Y",D41=""),0,D41*IF(E41="Monthly",IF($B$10="",1,$B$10),1))</f>
        <v>0</v>
      </c>
      <c r="H41" s="7" t="n">
        <f aca="false">IF(UPPER(F41)="Y",G41,0)</f>
        <v>0</v>
      </c>
      <c r="I41" s="5" t="str">
        <f aca="false">IF($B$13="N","Not counted (B13 = N)",IF(D41="","",IF($B$13="","Answer B13 first",IF(F41="","Pick Billed to client Y/N","OK"))))</f>
        <v/>
      </c>
    </row>
    <row r="42" customFormat="false" ht="15" hidden="false" customHeight="false" outlineLevel="0" collapsed="false">
      <c r="A42" s="4"/>
      <c r="B42" s="4"/>
      <c r="C42" s="4"/>
      <c r="D42" s="10"/>
      <c r="E42" s="4"/>
      <c r="F42" s="4"/>
      <c r="G42" s="7" t="n">
        <f aca="false">IF(OR($B$13&lt;&gt;"Y",D42=""),0,D42*IF(E42="Monthly",IF($B$10="",1,$B$10),1))</f>
        <v>0</v>
      </c>
      <c r="H42" s="7" t="n">
        <f aca="false">IF(UPPER(F42)="Y",G42,0)</f>
        <v>0</v>
      </c>
      <c r="I42" s="5" t="str">
        <f aca="false">IF($B$13="N","Not counted (B13 = N)",IF(D42="","",IF($B$13="","Answer B13 first",IF(F42="","Pick Billed to client Y/N","OK"))))</f>
        <v/>
      </c>
    </row>
    <row r="43" customFormat="false" ht="15" hidden="false" customHeight="false" outlineLevel="0" collapsed="false">
      <c r="A43" s="4"/>
      <c r="B43" s="4"/>
      <c r="C43" s="4"/>
      <c r="D43" s="10"/>
      <c r="E43" s="4"/>
      <c r="F43" s="4"/>
      <c r="G43" s="7" t="n">
        <f aca="false">IF(OR($B$13&lt;&gt;"Y",D43=""),0,D43*IF(E43="Monthly",IF($B$10="",1,$B$10),1))</f>
        <v>0</v>
      </c>
      <c r="H43" s="7" t="n">
        <f aca="false">IF(UPPER(F43)="Y",G43,0)</f>
        <v>0</v>
      </c>
      <c r="I43" s="5" t="str">
        <f aca="false">IF($B$13="N","Not counted (B13 = N)",IF(D43="","",IF($B$13="","Answer B13 first",IF(F43="","Pick Billed to client Y/N","OK"))))</f>
        <v/>
      </c>
      <c r="V43" s="3" t="s">
        <v>73</v>
      </c>
    </row>
    <row r="44" customFormat="false" ht="15" hidden="false" customHeight="false" outlineLevel="0" collapsed="false">
      <c r="A44" s="4"/>
      <c r="B44" s="4"/>
      <c r="C44" s="4"/>
      <c r="D44" s="10"/>
      <c r="E44" s="4"/>
      <c r="F44" s="4"/>
      <c r="G44" s="7" t="n">
        <f aca="false">IF(OR($B$13&lt;&gt;"Y",D44=""),0,D44*IF(E44="Monthly",IF($B$10="",1,$B$10),1))</f>
        <v>0</v>
      </c>
      <c r="H44" s="7" t="n">
        <f aca="false">IF(UPPER(F44)="Y",G44,0)</f>
        <v>0</v>
      </c>
      <c r="I44" s="5" t="str">
        <f aca="false">IF($B$13="N","Not counted (B13 = N)",IF(D44="","",IF($B$13="","Answer B13 first",IF(F44="","Pick Billed to client Y/N","OK"))))</f>
        <v/>
      </c>
      <c r="V44" s="27" t="s">
        <v>74</v>
      </c>
    </row>
    <row r="45" customFormat="false" ht="15" hidden="false" customHeight="false" outlineLevel="0" collapsed="false">
      <c r="A45" s="4"/>
      <c r="B45" s="4"/>
      <c r="C45" s="4"/>
      <c r="D45" s="10"/>
      <c r="E45" s="4"/>
      <c r="F45" s="4"/>
      <c r="G45" s="7" t="n">
        <f aca="false">IF(OR($B$13&lt;&gt;"Y",D45=""),0,D45*IF(E45="Monthly",IF($B$10="",1,$B$10),1))</f>
        <v>0</v>
      </c>
      <c r="H45" s="7" t="n">
        <f aca="false">IF(UPPER(F45)="Y",G45,0)</f>
        <v>0</v>
      </c>
      <c r="I45" s="5" t="str">
        <f aca="false">IF($B$13="N","Not counted (B13 = N)",IF(D45="","",IF($B$13="","Answer B13 first",IF(F45="","Pick Billed to client Y/N","OK"))))</f>
        <v/>
      </c>
      <c r="V45" s="27" t="s">
        <v>75</v>
      </c>
    </row>
    <row r="46" customFormat="false" ht="15" hidden="false" customHeight="false" outlineLevel="0" collapsed="false">
      <c r="A46" s="4"/>
      <c r="B46" s="4"/>
      <c r="C46" s="4"/>
      <c r="D46" s="10"/>
      <c r="E46" s="4"/>
      <c r="F46" s="4"/>
      <c r="G46" s="7" t="n">
        <f aca="false">IF(OR($B$13&lt;&gt;"Y",D46=""),0,D46*IF(E46="Monthly",IF($B$10="",1,$B$10),1))</f>
        <v>0</v>
      </c>
      <c r="H46" s="7" t="n">
        <f aca="false">IF(UPPER(F46)="Y",G46,0)</f>
        <v>0</v>
      </c>
      <c r="I46" s="5" t="str">
        <f aca="false">IF($B$13="N","Not counted (B13 = N)",IF(D46="","",IF($B$13="","Answer B13 first",IF(F46="","Pick Billed to client Y/N","OK"))))</f>
        <v/>
      </c>
      <c r="V46" s="27" t="s">
        <v>76</v>
      </c>
    </row>
    <row r="47" customFormat="false" ht="15" hidden="false" customHeight="false" outlineLevel="0" collapsed="false">
      <c r="A47" s="4"/>
      <c r="B47" s="4"/>
      <c r="C47" s="4"/>
      <c r="D47" s="10"/>
      <c r="E47" s="4"/>
      <c r="F47" s="4"/>
      <c r="G47" s="7" t="n">
        <f aca="false">IF(OR($B$13&lt;&gt;"Y",D47=""),0,D47*IF(E47="Monthly",IF($B$10="",1,$B$10),1))</f>
        <v>0</v>
      </c>
      <c r="H47" s="7" t="n">
        <f aca="false">IF(UPPER(F47)="Y",G47,0)</f>
        <v>0</v>
      </c>
      <c r="I47" s="5" t="str">
        <f aca="false">IF($B$13="N","Not counted (B13 = N)",IF(D47="","",IF($B$13="","Answer B13 first",IF(F47="","Pick Billed to client Y/N","OK"))))</f>
        <v/>
      </c>
      <c r="V47" s="27" t="s">
        <v>77</v>
      </c>
    </row>
    <row r="48" customFormat="false" ht="15" hidden="false" customHeight="false" outlineLevel="0" collapsed="false">
      <c r="A48" s="4"/>
      <c r="B48" s="4"/>
      <c r="C48" s="4"/>
      <c r="D48" s="10"/>
      <c r="E48" s="4"/>
      <c r="F48" s="4"/>
      <c r="G48" s="7" t="n">
        <f aca="false">IF(OR($B$13&lt;&gt;"Y",D48=""),0,D48*IF(E48="Monthly",IF($B$10="",1,$B$10),1))</f>
        <v>0</v>
      </c>
      <c r="H48" s="7" t="n">
        <f aca="false">IF(UPPER(F48)="Y",G48,0)</f>
        <v>0</v>
      </c>
      <c r="I48" s="5" t="str">
        <f aca="false">IF($B$13="N","Not counted (B13 = N)",IF(D48="","",IF($B$13="","Answer B13 first",IF(F48="","Pick Billed to client Y/N","OK"))))</f>
        <v/>
      </c>
      <c r="V48" s="27" t="s">
        <v>78</v>
      </c>
    </row>
    <row r="49" customFormat="false" ht="15" hidden="false" customHeight="false" outlineLevel="0" collapsed="false">
      <c r="A49" s="4"/>
      <c r="B49" s="4"/>
      <c r="C49" s="4"/>
      <c r="D49" s="10"/>
      <c r="E49" s="4"/>
      <c r="F49" s="4"/>
      <c r="G49" s="7" t="n">
        <f aca="false">IF(OR($B$13&lt;&gt;"Y",D49=""),0,D49*IF(E49="Monthly",IF($B$10="",1,$B$10),1))</f>
        <v>0</v>
      </c>
      <c r="H49" s="7" t="n">
        <f aca="false">IF(UPPER(F49)="Y",G49,0)</f>
        <v>0</v>
      </c>
      <c r="I49" s="5" t="str">
        <f aca="false">IF($B$13="N","Not counted (B13 = N)",IF(D49="","",IF($B$13="","Answer B13 first",IF(F49="","Pick Billed to client Y/N","OK"))))</f>
        <v/>
      </c>
      <c r="V49" s="27" t="s">
        <v>79</v>
      </c>
    </row>
    <row r="50" customFormat="false" ht="15" hidden="false" customHeight="false" outlineLevel="0" collapsed="false">
      <c r="A50" s="4"/>
      <c r="B50" s="4"/>
      <c r="C50" s="4"/>
      <c r="D50" s="10"/>
      <c r="E50" s="4"/>
      <c r="F50" s="4"/>
      <c r="G50" s="7" t="n">
        <f aca="false">IF(OR($B$13&lt;&gt;"Y",D50=""),0,D50*IF(E50="Monthly",IF($B$10="",1,$B$10),1))</f>
        <v>0</v>
      </c>
      <c r="H50" s="7" t="n">
        <f aca="false">IF(UPPER(F50)="Y",G50,0)</f>
        <v>0</v>
      </c>
      <c r="I50" s="5" t="str">
        <f aca="false">IF($B$13="N","Not counted (B13 = N)",IF(D50="","",IF($B$13="","Answer B13 first",IF(F50="","Pick Billed to client Y/N","OK"))))</f>
        <v/>
      </c>
      <c r="V50" s="27" t="s">
        <v>80</v>
      </c>
    </row>
    <row r="51" customFormat="false" ht="15" hidden="false" customHeight="false" outlineLevel="0" collapsed="false">
      <c r="A51" s="4"/>
      <c r="B51" s="4"/>
      <c r="C51" s="4"/>
      <c r="D51" s="10"/>
      <c r="E51" s="4"/>
      <c r="F51" s="4"/>
      <c r="G51" s="7" t="n">
        <f aca="false">IF(OR($B$13&lt;&gt;"Y",D51=""),0,D51*IF(E51="Monthly",IF($B$10="",1,$B$10),1))</f>
        <v>0</v>
      </c>
      <c r="H51" s="7" t="n">
        <f aca="false">IF(UPPER(F51)="Y",G51,0)</f>
        <v>0</v>
      </c>
      <c r="I51" s="5" t="str">
        <f aca="false">IF($B$13="N","Not counted (B13 = N)",IF(D51="","",IF($B$13="","Answer B13 first",IF(F51="","Pick Billed to client Y/N","OK"))))</f>
        <v/>
      </c>
      <c r="V51" s="27" t="s">
        <v>81</v>
      </c>
    </row>
    <row r="52" customFormat="false" ht="15" hidden="false" customHeight="false" outlineLevel="0" collapsed="false">
      <c r="A52" s="4"/>
      <c r="B52" s="4"/>
      <c r="C52" s="4"/>
      <c r="D52" s="10"/>
      <c r="E52" s="4"/>
      <c r="F52" s="4"/>
      <c r="G52" s="7" t="n">
        <f aca="false">IF(OR($B$13&lt;&gt;"Y",D52=""),0,D52*IF(E52="Monthly",IF($B$10="",1,$B$10),1))</f>
        <v>0</v>
      </c>
      <c r="H52" s="7" t="n">
        <f aca="false">IF(UPPER(F52)="Y",G52,0)</f>
        <v>0</v>
      </c>
      <c r="I52" s="5" t="str">
        <f aca="false">IF($B$13="N","Not counted (B13 = N)",IF(D52="","",IF($B$13="","Answer B13 first",IF(F52="","Pick Billed to client Y/N","OK"))))</f>
        <v/>
      </c>
      <c r="V52" s="27" t="s">
        <v>82</v>
      </c>
    </row>
    <row r="53" customFormat="false" ht="15" hidden="false" customHeight="false" outlineLevel="0" collapsed="false">
      <c r="A53" s="23" t="s">
        <v>83</v>
      </c>
      <c r="B53" s="23"/>
      <c r="C53" s="23"/>
      <c r="D53" s="23"/>
      <c r="E53" s="23"/>
      <c r="F53" s="23"/>
      <c r="G53" s="25" t="n">
        <f aca="false">SUM(G41:G52)</f>
        <v>0</v>
      </c>
      <c r="H53" s="25" t="n">
        <f aca="false">SUM(H41:H52)</f>
        <v>0</v>
      </c>
      <c r="I53" s="23"/>
      <c r="V53" s="27" t="s">
        <v>84</v>
      </c>
    </row>
    <row r="54" customFormat="false" ht="15" hidden="false" customHeight="false" outlineLevel="0" collapsed="false">
      <c r="A54" s="2" t="s">
        <v>85</v>
      </c>
      <c r="V54" s="27" t="s">
        <v>86</v>
      </c>
    </row>
  </sheetData>
  <conditionalFormatting sqref="AB24:AB27">
    <cfRule type="expression" priority="2" aboveAverage="0" equalAverage="0" bottom="0" percent="0" rank="0" text="" dxfId="0">
      <formula>LEFT(AB24,5)="Under"</formula>
    </cfRule>
  </conditionalFormatting>
  <conditionalFormatting sqref="B11">
    <cfRule type="expression" priority="3" aboveAverage="0" equalAverage="0" bottom="0" percent="0" rank="0" text="" dxfId="1">
      <formula>NOT(OR($B$4="Fixed cost",$B$4="Assessment"))</formula>
    </cfRule>
  </conditionalFormatting>
  <conditionalFormatting sqref="B12">
    <cfRule type="expression" priority="4" aboveAverage="0" equalAverage="0" bottom="0" percent="0" rank="0" text="" dxfId="1">
      <formula>$B$4&lt;&gt;"MSP"</formula>
    </cfRule>
  </conditionalFormatting>
  <conditionalFormatting sqref="J17:K36">
    <cfRule type="expression" priority="5" aboveAverage="0" equalAverage="0" bottom="0" percent="0" rank="0" text="" dxfId="1">
      <formula>$B$14="Y"</formula>
    </cfRule>
  </conditionalFormatting>
  <conditionalFormatting sqref="H17:H36">
    <cfRule type="expression" priority="6" aboveAverage="0" equalAverage="0" bottom="0" percent="0" rank="0" text="" dxfId="1">
      <formula>NOT(OR($B$4="Time &amp; materials",$B$4="Staff augmentation"))</formula>
    </cfRule>
  </conditionalFormatting>
  <conditionalFormatting sqref="O17:O37">
    <cfRule type="expression" priority="7" aboveAverage="0" equalAverage="0" bottom="0" percent="0" rank="0" text="" dxfId="1">
      <formula>NOT(OR($B$4="Time &amp; materials",$B$4="Staff augmentation"))</formula>
    </cfRule>
  </conditionalFormatting>
  <conditionalFormatting sqref="T17:T37">
    <cfRule type="expression" priority="8" aboveAverage="0" equalAverage="0" bottom="0" percent="0" rank="0" text="" dxfId="1">
      <formula>NOT(OR($B$4="Time &amp; materials",$B$4="Staff augmentation"))</formula>
    </cfRule>
  </conditionalFormatting>
  <conditionalFormatting sqref="E17:E36">
    <cfRule type="expression" priority="9" aboveAverage="0" equalAverage="0" bottom="0" percent="0" rank="0" text="" dxfId="1">
      <formula>NOT(OR($B$4="Time &amp; materials",$B$4="Staff augmentation"))</formula>
    </cfRule>
  </conditionalFormatting>
  <conditionalFormatting sqref="V30:W40">
    <cfRule type="expression" priority="10" aboveAverage="0" equalAverage="0" bottom="0" percent="0" rank="0" text="" dxfId="1">
      <formula>NOT(OR($B$4="Time &amp; materials",$B$4="Staff augmentation"))</formula>
    </cfRule>
  </conditionalFormatting>
  <conditionalFormatting sqref="A40:I53">
    <cfRule type="expression" priority="11" aboveAverage="0" equalAverage="0" bottom="0" percent="0" rank="0" text="" dxfId="1">
      <formula>$B$13="N"</formula>
    </cfRule>
  </conditionalFormatting>
  <conditionalFormatting sqref="I41:I52">
    <cfRule type="expression" priority="12" aboveAverage="0" equalAverage="0" bottom="0" percent="0" rank="0" text="" dxfId="0">
      <formula>OR(LEFT(I41,4)="Pick",LEFT(I41,6)="Answer")</formula>
    </cfRule>
  </conditionalFormatting>
  <conditionalFormatting sqref="T17:T36">
    <cfRule type="expression" priority="13" aboveAverage="0" equalAverage="0" bottom="0" percent="0" rank="0" text="" dxfId="0">
      <formula>AND(OR($B$4="Time &amp; materials",$B$4="Staff augmentation"),T17&lt;&gt;"",T17&lt;S17)</formula>
    </cfRule>
  </conditionalFormatting>
  <conditionalFormatting sqref="G17:G36">
    <cfRule type="expression" priority="14" aboveAverage="0" equalAverage="0" bottom="0" percent="0" rank="0" text="" dxfId="2">
      <formula>$A17=""</formula>
    </cfRule>
  </conditionalFormatting>
  <conditionalFormatting sqref="L17:L36">
    <cfRule type="expression" priority="15" aboveAverage="0" equalAverage="0" bottom="0" percent="0" rank="0" text="" dxfId="2">
      <formula>$A17=""</formula>
    </cfRule>
  </conditionalFormatting>
  <conditionalFormatting sqref="N17:T36">
    <cfRule type="expression" priority="16" aboveAverage="0" equalAverage="0" bottom="0" percent="0" rank="0" text="" dxfId="2">
      <formula>$A17=""</formula>
    </cfRule>
  </conditionalFormatting>
  <conditionalFormatting sqref="G41:I52">
    <cfRule type="expression" priority="17" aboveAverage="0" equalAverage="0" bottom="0" percent="0" rank="0" text="" dxfId="2">
      <formula>$A41=""</formula>
    </cfRule>
  </conditionalFormatting>
  <dataValidations count="9">
    <dataValidation allowBlank="false" errorStyle="stop" operator="between" showDropDown="false" showErrorMessage="false" showInputMessage="false" sqref="B4" type="list">
      <formula1>Settings!$E$25:$E$29</formula1>
      <formula2>0</formula2>
    </dataValidation>
    <dataValidation allowBlank="true" errorStyle="stop" operator="between" showDropDown="false" showErrorMessage="false" showInputMessage="false" sqref="D17:D36" type="list">
      <formula1>Settings!$C$25:$C$26</formula1>
      <formula2>0</formula2>
    </dataValidation>
    <dataValidation allowBlank="true" errorStyle="stop" operator="between" showDropDown="false" showErrorMessage="false" showInputMessage="false" sqref="B13:B14 F41:F52" type="list">
      <formula1>"Y,N"</formula1>
      <formula2>0</formula2>
    </dataValidation>
    <dataValidation allowBlank="true" errorStyle="stop" operator="between" showDropDown="false" showErrorMessage="false" showInputMessage="false" sqref="C17:C36 C41:C52" type="list">
      <formula1>Settings!$A$9:$A$12</formula1>
      <formula2>0</formula2>
    </dataValidation>
    <dataValidation allowBlank="true" errorStyle="stop" operator="between" showDropDown="false" showErrorMessage="false" showInputMessage="false" sqref="B17:B36" type="list">
      <formula1>Settings!$A$17:$A$20</formula1>
      <formula2>0</formula2>
    </dataValidation>
    <dataValidation allowBlank="true" errorStyle="stop" operator="between" showDropDown="false" showErrorMessage="false" showInputMessage="false" sqref="B41:B52" type="list">
      <formula1>Settings!$G$25:$G$31</formula1>
      <formula2>0</formula2>
    </dataValidation>
    <dataValidation allowBlank="true" errorStyle="stop" operator="between" showDropDown="false" showErrorMessage="false" showInputMessage="false" sqref="E41:E52" type="list">
      <formula1>"One-time,Monthly"</formula1>
      <formula2>0</formula2>
    </dataValidation>
    <dataValidation allowBlank="true" errorStyle="stop" operator="between" showDropDown="false" showErrorMessage="false" showInputMessage="false" sqref="F17:F36" type="decimal">
      <formula1>0</formula1>
      <formula2>1</formula2>
    </dataValidation>
    <dataValidation allowBlank="true" errorStyle="stop" operator="between" showDropDown="false" showErrorMessage="false" showInputMessage="false" sqref="B7" type="list">
      <formula1>"USD,INR,GBP,EUR,CAD"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9" min="8" style="0" width="15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3" t="s">
        <v>89</v>
      </c>
    </row>
    <row r="5" customFormat="false" ht="15" hidden="false" customHeight="false" outlineLevel="0" collapsed="false">
      <c r="A5" s="0" t="s">
        <v>90</v>
      </c>
      <c r="B5" s="4" t="n">
        <v>8</v>
      </c>
      <c r="C5" s="2" t="s">
        <v>91</v>
      </c>
    </row>
    <row r="6" customFormat="false" ht="15" hidden="false" customHeight="false" outlineLevel="0" collapsed="false">
      <c r="A6" s="0" t="s">
        <v>29</v>
      </c>
      <c r="B6" s="14" t="n">
        <v>0.35</v>
      </c>
      <c r="C6" s="2" t="s">
        <v>92</v>
      </c>
    </row>
    <row r="7" customFormat="false" ht="15" hidden="false" customHeight="false" outlineLevel="0" collapsed="false">
      <c r="A7" s="3" t="s">
        <v>93</v>
      </c>
    </row>
    <row r="8" customFormat="false" ht="30" hidden="false" customHeight="true" outlineLevel="0" collapsed="false">
      <c r="A8" s="13" t="s">
        <v>53</v>
      </c>
      <c r="B8" s="13" t="s">
        <v>94</v>
      </c>
      <c r="C8" s="13" t="s">
        <v>95</v>
      </c>
      <c r="D8" s="13" t="s">
        <v>96</v>
      </c>
      <c r="E8" s="13" t="s">
        <v>97</v>
      </c>
    </row>
    <row r="9" customFormat="false" ht="15" hidden="false" customHeight="false" outlineLevel="0" collapsed="false">
      <c r="A9" s="4" t="s">
        <v>98</v>
      </c>
      <c r="B9" s="14" t="n">
        <v>0.36</v>
      </c>
      <c r="C9" s="14" t="n">
        <v>0.05</v>
      </c>
      <c r="D9" s="14" t="n">
        <v>0.35</v>
      </c>
      <c r="E9" s="28" t="s">
        <v>99</v>
      </c>
    </row>
    <row r="10" customFormat="false" ht="15" hidden="false" customHeight="false" outlineLevel="0" collapsed="false">
      <c r="A10" s="4" t="s">
        <v>100</v>
      </c>
      <c r="B10" s="14" t="n">
        <v>0.08</v>
      </c>
      <c r="C10" s="14" t="n">
        <v>0.08</v>
      </c>
      <c r="D10" s="14" t="n">
        <v>0.5</v>
      </c>
      <c r="E10" s="28" t="s">
        <v>101</v>
      </c>
    </row>
    <row r="11" customFormat="false" ht="15" hidden="false" customHeight="false" outlineLevel="0" collapsed="false">
      <c r="A11" s="4"/>
      <c r="B11" s="14"/>
      <c r="C11" s="14"/>
      <c r="D11" s="14"/>
      <c r="E11" s="28" t="s">
        <v>102</v>
      </c>
    </row>
    <row r="12" customFormat="false" ht="15" hidden="false" customHeight="false" outlineLevel="0" collapsed="false">
      <c r="A12" s="4"/>
      <c r="B12" s="14"/>
      <c r="C12" s="14"/>
      <c r="D12" s="14"/>
      <c r="E12" s="28"/>
    </row>
    <row r="13" customFormat="false" ht="15" hidden="false" customHeight="false" outlineLevel="0" collapsed="false">
      <c r="A13" s="2" t="s">
        <v>103</v>
      </c>
    </row>
    <row r="15" customFormat="false" ht="15" hidden="false" customHeight="false" outlineLevel="0" collapsed="false">
      <c r="A15" s="3" t="s">
        <v>104</v>
      </c>
    </row>
    <row r="16" customFormat="false" ht="30" hidden="false" customHeight="true" outlineLevel="0" collapsed="false">
      <c r="A16" s="13" t="s">
        <v>105</v>
      </c>
      <c r="B16" s="29" t="str">
        <f aca="false">IF($A$9="","",$A$9&amp;" · "&amp;"W-2 / Employee")</f>
        <v>US · W-2 / Employee</v>
      </c>
      <c r="C16" s="29" t="str">
        <f aca="false">IF($A$9="","",$A$9&amp;" · "&amp;"1099 / Contractor")</f>
        <v>US · 1099 / Contractor</v>
      </c>
      <c r="D16" s="29" t="str">
        <f aca="false">IF($A$10="","",$A$10&amp;" · "&amp;"W-2 / Employee")</f>
        <v>India · W-2 / Employee</v>
      </c>
      <c r="E16" s="29" t="str">
        <f aca="false">IF($A$10="","",$A$10&amp;" · "&amp;"1099 / Contractor")</f>
        <v>India · 1099 / Contractor</v>
      </c>
      <c r="F16" s="29" t="str">
        <f aca="false">IF($A$11="","",$A$11&amp;" · "&amp;"W-2 / Employee")</f>
        <v/>
      </c>
      <c r="G16" s="29" t="str">
        <f aca="false">IF($A$11="","",$A$11&amp;" · "&amp;"1099 / Contractor")</f>
        <v/>
      </c>
      <c r="H16" s="29" t="str">
        <f aca="false">IF($A$12="","",$A$12&amp;" · "&amp;"W-2 / Employee")</f>
        <v/>
      </c>
      <c r="I16" s="29" t="str">
        <f aca="false">IF($A$12="","",$A$12&amp;" · "&amp;"1099 / Contractor")</f>
        <v/>
      </c>
    </row>
    <row r="17" customFormat="false" ht="15" hidden="false" customHeight="false" outlineLevel="0" collapsed="false">
      <c r="A17" s="4" t="s">
        <v>106</v>
      </c>
      <c r="B17" s="16" t="n">
        <v>60</v>
      </c>
      <c r="C17" s="16" t="n">
        <v>65</v>
      </c>
      <c r="D17" s="16" t="n">
        <v>12</v>
      </c>
      <c r="E17" s="16" t="n">
        <v>14</v>
      </c>
      <c r="F17" s="16"/>
      <c r="G17" s="16"/>
      <c r="H17" s="16"/>
      <c r="I17" s="16"/>
    </row>
    <row r="18" customFormat="false" ht="15" hidden="false" customHeight="false" outlineLevel="0" collapsed="false">
      <c r="A18" s="4" t="s">
        <v>107</v>
      </c>
      <c r="B18" s="16" t="n">
        <v>80</v>
      </c>
      <c r="C18" s="16" t="n">
        <v>88</v>
      </c>
      <c r="D18" s="16" t="n">
        <v>18</v>
      </c>
      <c r="E18" s="16" t="n">
        <v>20</v>
      </c>
      <c r="F18" s="16"/>
      <c r="G18" s="16"/>
      <c r="H18" s="16"/>
      <c r="I18" s="16"/>
    </row>
    <row r="19" customFormat="false" ht="15" hidden="false" customHeight="false" outlineLevel="0" collapsed="false">
      <c r="A19" s="4" t="s">
        <v>108</v>
      </c>
      <c r="B19" s="16" t="n">
        <v>100</v>
      </c>
      <c r="C19" s="16" t="n">
        <v>110</v>
      </c>
      <c r="D19" s="16" t="n">
        <v>25</v>
      </c>
      <c r="E19" s="16" t="n">
        <v>28</v>
      </c>
      <c r="F19" s="16"/>
      <c r="G19" s="16"/>
      <c r="H19" s="16"/>
      <c r="I19" s="16"/>
    </row>
    <row r="20" customFormat="false" ht="15" hidden="false" customHeight="false" outlineLevel="0" collapsed="false">
      <c r="A20" s="4" t="s">
        <v>109</v>
      </c>
      <c r="B20" s="16" t="n">
        <v>130</v>
      </c>
      <c r="C20" s="16" t="n">
        <v>145</v>
      </c>
      <c r="D20" s="16" t="n">
        <v>35</v>
      </c>
      <c r="E20" s="16" t="n">
        <v>40</v>
      </c>
      <c r="F20" s="16"/>
      <c r="G20" s="16"/>
      <c r="H20" s="16"/>
      <c r="I20" s="16"/>
    </row>
    <row r="21" customFormat="false" ht="15" hidden="false" customHeight="false" outlineLevel="0" collapsed="false">
      <c r="A21" s="2" t="s">
        <v>110</v>
      </c>
    </row>
    <row r="23" customFormat="false" ht="15" hidden="false" customHeight="false" outlineLevel="0" collapsed="false">
      <c r="A23" s="3" t="s">
        <v>111</v>
      </c>
    </row>
    <row r="24" customFormat="false" ht="15" hidden="false" customHeight="false" outlineLevel="0" collapsed="false">
      <c r="C24" s="13" t="s">
        <v>112</v>
      </c>
      <c r="E24" s="13" t="s">
        <v>113</v>
      </c>
      <c r="G24" s="13" t="s">
        <v>114</v>
      </c>
    </row>
    <row r="25" customFormat="false" ht="15" hidden="false" customHeight="false" outlineLevel="0" collapsed="false">
      <c r="A25" s="2" t="s">
        <v>115</v>
      </c>
      <c r="C25" s="30" t="s">
        <v>116</v>
      </c>
      <c r="E25" s="30" t="s">
        <v>117</v>
      </c>
      <c r="F25" s="2" t="s">
        <v>118</v>
      </c>
      <c r="G25" s="4" t="s">
        <v>119</v>
      </c>
    </row>
    <row r="26" customFormat="false" ht="15" hidden="false" customHeight="false" outlineLevel="0" collapsed="false">
      <c r="C26" s="30" t="s">
        <v>120</v>
      </c>
      <c r="E26" s="30" t="s">
        <v>121</v>
      </c>
      <c r="G26" s="4" t="s">
        <v>122</v>
      </c>
    </row>
    <row r="27" customFormat="false" ht="15" hidden="false" customHeight="false" outlineLevel="0" collapsed="false">
      <c r="E27" s="30" t="s">
        <v>123</v>
      </c>
      <c r="G27" s="4" t="s">
        <v>124</v>
      </c>
    </row>
    <row r="28" customFormat="false" ht="15" hidden="false" customHeight="false" outlineLevel="0" collapsed="false">
      <c r="E28" s="30" t="s">
        <v>125</v>
      </c>
      <c r="G28" s="4" t="s">
        <v>126</v>
      </c>
    </row>
    <row r="29" customFormat="false" ht="15" hidden="false" customHeight="false" outlineLevel="0" collapsed="false">
      <c r="E29" s="30" t="s">
        <v>127</v>
      </c>
      <c r="G29" s="4" t="s">
        <v>128</v>
      </c>
    </row>
    <row r="30" customFormat="false" ht="15" hidden="false" customHeight="false" outlineLevel="0" collapsed="false">
      <c r="G30" s="4" t="s">
        <v>129</v>
      </c>
    </row>
    <row r="31" customFormat="false" ht="15" hidden="false" customHeight="false" outlineLevel="0" collapsed="false">
      <c r="G31" s="4" t="s">
        <v>130</v>
      </c>
    </row>
    <row r="33" customFormat="false" ht="15" hidden="false" customHeight="false" outlineLevel="0" collapsed="false">
      <c r="A33" s="3" t="s">
        <v>131</v>
      </c>
    </row>
    <row r="34" customFormat="false" ht="15" hidden="false" customHeight="false" outlineLevel="0" collapsed="false">
      <c r="A34" s="31" t="str">
        <f aca="false">IF($A$9="","",$A$9)</f>
        <v>US</v>
      </c>
      <c r="B34" s="31" t="str">
        <f aca="false">IF($A$10="","",$A$10)</f>
        <v>India</v>
      </c>
      <c r="C34" s="31" t="str">
        <f aca="false">IF($A$11="","",$A$11)</f>
        <v/>
      </c>
      <c r="D34" s="31" t="str">
        <f aca="false">IF($A$12="","",$A$12)</f>
        <v/>
      </c>
    </row>
    <row r="35" customFormat="false" ht="15" hidden="false" customHeight="false" outlineLevel="0" collapsed="false">
      <c r="A35" s="8" t="n">
        <v>46023</v>
      </c>
      <c r="B35" s="8" t="n">
        <v>46023</v>
      </c>
      <c r="C35" s="8"/>
      <c r="D35" s="8"/>
      <c r="F35" s="2" t="s">
        <v>132</v>
      </c>
    </row>
    <row r="36" customFormat="false" ht="15" hidden="false" customHeight="false" outlineLevel="0" collapsed="false">
      <c r="A36" s="8" t="n">
        <v>46041</v>
      </c>
      <c r="B36" s="8" t="n">
        <v>46048</v>
      </c>
      <c r="C36" s="8"/>
      <c r="D36" s="8"/>
    </row>
    <row r="37" customFormat="false" ht="15" hidden="false" customHeight="false" outlineLevel="0" collapsed="false">
      <c r="A37" s="8" t="n">
        <v>46069</v>
      </c>
      <c r="B37" s="8" t="n">
        <v>46249</v>
      </c>
      <c r="C37" s="8"/>
      <c r="D37" s="8"/>
    </row>
    <row r="38" customFormat="false" ht="15" hidden="false" customHeight="false" outlineLevel="0" collapsed="false">
      <c r="A38" s="8" t="n">
        <v>46167</v>
      </c>
      <c r="B38" s="8" t="n">
        <v>46297</v>
      </c>
      <c r="C38" s="8"/>
      <c r="D38" s="8"/>
    </row>
    <row r="39" customFormat="false" ht="15" hidden="false" customHeight="false" outlineLevel="0" collapsed="false">
      <c r="A39" s="8" t="n">
        <v>46192</v>
      </c>
      <c r="B39" s="8" t="n">
        <v>46381</v>
      </c>
      <c r="C39" s="8"/>
      <c r="D39" s="8"/>
    </row>
    <row r="40" customFormat="false" ht="15" hidden="false" customHeight="false" outlineLevel="0" collapsed="false">
      <c r="A40" s="8" t="n">
        <v>46206</v>
      </c>
      <c r="B40" s="8" t="n">
        <v>46388</v>
      </c>
      <c r="C40" s="8"/>
      <c r="D40" s="8"/>
    </row>
    <row r="41" customFormat="false" ht="15" hidden="false" customHeight="false" outlineLevel="0" collapsed="false">
      <c r="A41" s="8" t="n">
        <v>46272</v>
      </c>
      <c r="B41" s="8" t="n">
        <v>46413</v>
      </c>
      <c r="C41" s="8"/>
      <c r="D41" s="8"/>
    </row>
    <row r="42" customFormat="false" ht="15" hidden="false" customHeight="false" outlineLevel="0" collapsed="false">
      <c r="A42" s="8" t="n">
        <v>46307</v>
      </c>
      <c r="B42" s="8" t="n">
        <v>46614</v>
      </c>
      <c r="C42" s="8"/>
      <c r="D42" s="8"/>
    </row>
    <row r="43" customFormat="false" ht="15" hidden="false" customHeight="false" outlineLevel="0" collapsed="false">
      <c r="A43" s="8" t="n">
        <v>46337</v>
      </c>
      <c r="B43" s="8" t="n">
        <v>46662</v>
      </c>
      <c r="C43" s="8"/>
      <c r="D43" s="8"/>
    </row>
    <row r="44" customFormat="false" ht="15" hidden="false" customHeight="false" outlineLevel="0" collapsed="false">
      <c r="A44" s="8" t="n">
        <v>46352</v>
      </c>
      <c r="B44" s="8" t="n">
        <v>46746</v>
      </c>
      <c r="C44" s="8"/>
      <c r="D44" s="8"/>
    </row>
    <row r="45" customFormat="false" ht="15" hidden="false" customHeight="false" outlineLevel="0" collapsed="false">
      <c r="A45" s="8" t="n">
        <v>46381</v>
      </c>
      <c r="B45" s="8"/>
      <c r="C45" s="8"/>
      <c r="D45" s="8"/>
    </row>
    <row r="46" customFormat="false" ht="15" hidden="false" customHeight="false" outlineLevel="0" collapsed="false">
      <c r="A46" s="8" t="n">
        <v>46388</v>
      </c>
      <c r="B46" s="8"/>
      <c r="C46" s="8"/>
      <c r="D46" s="8"/>
    </row>
    <row r="47" customFormat="false" ht="15" hidden="false" customHeight="false" outlineLevel="0" collapsed="false">
      <c r="A47" s="8" t="n">
        <v>46405</v>
      </c>
      <c r="B47" s="8"/>
      <c r="C47" s="8"/>
      <c r="D47" s="8"/>
    </row>
    <row r="48" customFormat="false" ht="15" hidden="false" customHeight="false" outlineLevel="0" collapsed="false">
      <c r="A48" s="8" t="n">
        <v>46433</v>
      </c>
      <c r="B48" s="8"/>
      <c r="C48" s="8"/>
      <c r="D48" s="8"/>
    </row>
    <row r="49" customFormat="false" ht="15" hidden="false" customHeight="false" outlineLevel="0" collapsed="false">
      <c r="A49" s="8" t="n">
        <v>46538</v>
      </c>
      <c r="B49" s="8"/>
      <c r="C49" s="8"/>
      <c r="D49" s="8"/>
    </row>
    <row r="50" customFormat="false" ht="15" hidden="false" customHeight="false" outlineLevel="0" collapsed="false">
      <c r="A50" s="8" t="n">
        <v>46556</v>
      </c>
      <c r="B50" s="8"/>
      <c r="C50" s="8"/>
      <c r="D50" s="8"/>
    </row>
    <row r="51" customFormat="false" ht="15" hidden="false" customHeight="false" outlineLevel="0" collapsed="false">
      <c r="A51" s="8" t="n">
        <v>46573</v>
      </c>
      <c r="B51" s="8"/>
      <c r="C51" s="8"/>
      <c r="D51" s="8"/>
    </row>
    <row r="52" customFormat="false" ht="15" hidden="false" customHeight="false" outlineLevel="0" collapsed="false">
      <c r="A52" s="8" t="n">
        <v>46636</v>
      </c>
      <c r="B52" s="8"/>
      <c r="C52" s="8"/>
      <c r="D52" s="8"/>
    </row>
    <row r="53" customFormat="false" ht="15" hidden="false" customHeight="false" outlineLevel="0" collapsed="false">
      <c r="A53" s="8" t="n">
        <v>46671</v>
      </c>
      <c r="B53" s="8"/>
      <c r="C53" s="8"/>
      <c r="D53" s="8"/>
    </row>
    <row r="54" customFormat="false" ht="15" hidden="false" customHeight="false" outlineLevel="0" collapsed="false">
      <c r="A54" s="8" t="n">
        <v>46702</v>
      </c>
      <c r="B54" s="8"/>
      <c r="C54" s="8"/>
      <c r="D54" s="8"/>
    </row>
    <row r="55" customFormat="false" ht="15" hidden="false" customHeight="false" outlineLevel="0" collapsed="false">
      <c r="A55" s="8" t="n">
        <v>46716</v>
      </c>
      <c r="B55" s="8"/>
      <c r="C55" s="8"/>
      <c r="D55" s="8"/>
    </row>
    <row r="56" customFormat="false" ht="15" hidden="false" customHeight="false" outlineLevel="0" collapsed="false">
      <c r="A56" s="8" t="n">
        <v>46745</v>
      </c>
      <c r="B56" s="8"/>
      <c r="C56" s="8"/>
      <c r="D56" s="8"/>
    </row>
    <row r="57" customFormat="false" ht="15" hidden="false" customHeight="false" outlineLevel="0" collapsed="false">
      <c r="A57" s="8"/>
      <c r="B57" s="8"/>
      <c r="C57" s="8"/>
      <c r="D57" s="8"/>
    </row>
    <row r="58" customFormat="false" ht="15" hidden="false" customHeight="false" outlineLevel="0" collapsed="false">
      <c r="A58" s="8"/>
      <c r="B58" s="8"/>
      <c r="C58" s="8"/>
      <c r="D58" s="8"/>
    </row>
    <row r="59" customFormat="false" ht="15" hidden="false" customHeight="false" outlineLevel="0" collapsed="false">
      <c r="A59" s="8"/>
      <c r="B59" s="8"/>
      <c r="C59" s="8"/>
      <c r="D59" s="8"/>
    </row>
    <row r="60" customFormat="false" ht="15" hidden="false" customHeight="false" outlineLevel="0" collapsed="false">
      <c r="A60" s="8"/>
      <c r="B60" s="8"/>
      <c r="C60" s="8"/>
      <c r="D60" s="8"/>
    </row>
    <row r="61" customFormat="false" ht="15" hidden="false" customHeight="false" outlineLevel="0" collapsed="false">
      <c r="A61" s="8"/>
      <c r="B61" s="8"/>
      <c r="C61" s="8"/>
      <c r="D61" s="8"/>
    </row>
    <row r="62" customFormat="false" ht="15" hidden="false" customHeight="false" outlineLevel="0" collapsed="false">
      <c r="A62" s="8"/>
      <c r="B62" s="8"/>
      <c r="C62" s="8"/>
      <c r="D62" s="8"/>
    </row>
    <row r="63" customFormat="false" ht="15" hidden="false" customHeight="false" outlineLevel="0" collapsed="false">
      <c r="A63" s="8"/>
      <c r="B63" s="8"/>
      <c r="C63" s="8"/>
      <c r="D63" s="8"/>
    </row>
    <row r="64" customFormat="false" ht="15" hidden="false" customHeight="false" outlineLevel="0" collapsed="false">
      <c r="A64" s="8"/>
      <c r="B64" s="8"/>
      <c r="C64" s="8"/>
      <c r="D64" s="8"/>
    </row>
    <row r="65" customFormat="false" ht="15" hidden="false" customHeight="false" outlineLevel="0" collapsed="false">
      <c r="A65" s="8"/>
      <c r="B65" s="8"/>
      <c r="C65" s="8"/>
      <c r="D65" s="8"/>
    </row>
    <row r="66" customFormat="false" ht="15" hidden="false" customHeight="false" outlineLevel="0" collapsed="false">
      <c r="A66" s="8"/>
      <c r="B66" s="8"/>
      <c r="C66" s="8"/>
      <c r="D66" s="8"/>
    </row>
    <row r="67" customFormat="false" ht="15" hidden="false" customHeight="false" outlineLevel="0" collapsed="false">
      <c r="A67" s="8"/>
      <c r="B67" s="8"/>
      <c r="C67" s="8"/>
      <c r="D67" s="8"/>
    </row>
    <row r="68" customFormat="false" ht="15" hidden="false" customHeight="false" outlineLevel="0" collapsed="false">
      <c r="A68" s="8"/>
      <c r="B68" s="8"/>
      <c r="C68" s="8"/>
      <c r="D68" s="8"/>
    </row>
    <row r="69" customFormat="false" ht="15" hidden="false" customHeight="false" outlineLevel="0" collapsed="false">
      <c r="A69" s="8"/>
      <c r="B69" s="8"/>
      <c r="C69" s="8"/>
      <c r="D69" s="8"/>
    </row>
    <row r="70" customFormat="false" ht="15" hidden="false" customHeight="false" outlineLevel="0" collapsed="false">
      <c r="A70" s="8"/>
      <c r="B70" s="8"/>
      <c r="C70" s="8"/>
      <c r="D70" s="8"/>
    </row>
    <row r="71" customFormat="false" ht="15" hidden="false" customHeight="false" outlineLevel="0" collapsed="false">
      <c r="A71" s="8"/>
      <c r="B71" s="8"/>
      <c r="C71" s="8"/>
      <c r="D71" s="8"/>
    </row>
    <row r="72" customFormat="false" ht="15" hidden="false" customHeight="false" outlineLevel="0" collapsed="false">
      <c r="A72" s="8"/>
      <c r="B72" s="8"/>
      <c r="C72" s="8"/>
      <c r="D72" s="8"/>
    </row>
    <row r="73" customFormat="false" ht="15" hidden="false" customHeight="false" outlineLevel="0" collapsed="false">
      <c r="A73" s="8"/>
      <c r="B73" s="8"/>
      <c r="C73" s="8"/>
      <c r="D73" s="8"/>
    </row>
    <row r="74" customFormat="false" ht="15" hidden="false" customHeight="false" outlineLevel="0" collapsed="false">
      <c r="A74" s="8"/>
      <c r="B74" s="8"/>
      <c r="C74" s="8"/>
      <c r="D7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27" min="3" style="0" width="11"/>
    <col collapsed="false" customWidth="true" hidden="false" outlineLevel="0" max="28" min="28" style="0" width="18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32" t="str">
        <f aca="false">IF('Cost Margin'!$B$10="","Fill engagement type and project dates on the Cost Margin tab.",IF('Cost Margin'!$B$10&gt;2,"Monthly view REQUIRED — this engagement runs "&amp;TEXT('Cost Margin'!$B$10,"0.0")&amp;" months.","Not needed — this engagement is "&amp;TEXT('Cost Margin'!$B$10,"0.0")&amp;" month(s). Use the Cost Margin summary; everything below is greyed out."))</f>
        <v>Fill engagement type and project dates on the Cost Margin tab.</v>
      </c>
    </row>
    <row r="4" customFormat="false" ht="15" hidden="false" customHeight="false" outlineLevel="0" collapsed="false">
      <c r="A4" s="3" t="s">
        <v>135</v>
      </c>
      <c r="C4" s="6" t="str">
        <f aca="false">IF(C5="","",(C6-C5+1)/DAY(EOMONTH(C5,0)))</f>
        <v/>
      </c>
      <c r="D4" s="6" t="str">
        <f aca="false">IF(D5="","",(D6-D5+1)/DAY(EOMONTH(D5,0)))</f>
        <v/>
      </c>
      <c r="E4" s="6" t="str">
        <f aca="false">IF(E5="","",(E6-E5+1)/DAY(EOMONTH(E5,0)))</f>
        <v/>
      </c>
      <c r="F4" s="6" t="str">
        <f aca="false">IF(F5="","",(F6-F5+1)/DAY(EOMONTH(F5,0)))</f>
        <v/>
      </c>
      <c r="G4" s="6" t="str">
        <f aca="false">IF(G5="","",(G6-G5+1)/DAY(EOMONTH(G5,0)))</f>
        <v/>
      </c>
      <c r="H4" s="6" t="str">
        <f aca="false">IF(H5="","",(H6-H5+1)/DAY(EOMONTH(H5,0)))</f>
        <v/>
      </c>
      <c r="I4" s="6" t="str">
        <f aca="false">IF(I5="","",(I6-I5+1)/DAY(EOMONTH(I5,0)))</f>
        <v/>
      </c>
      <c r="J4" s="6" t="str">
        <f aca="false">IF(J5="","",(J6-J5+1)/DAY(EOMONTH(J5,0)))</f>
        <v/>
      </c>
      <c r="K4" s="6" t="str">
        <f aca="false">IF(K5="","",(K6-K5+1)/DAY(EOMONTH(K5,0)))</f>
        <v/>
      </c>
      <c r="L4" s="6" t="str">
        <f aca="false">IF(L5="","",(L6-L5+1)/DAY(EOMONTH(L5,0)))</f>
        <v/>
      </c>
      <c r="M4" s="6" t="str">
        <f aca="false">IF(M5="","",(M6-M5+1)/DAY(EOMONTH(M5,0)))</f>
        <v/>
      </c>
      <c r="N4" s="6" t="str">
        <f aca="false">IF(N5="","",(N6-N5+1)/DAY(EOMONTH(N5,0)))</f>
        <v/>
      </c>
      <c r="O4" s="6" t="str">
        <f aca="false">IF(O5="","",(O6-O5+1)/DAY(EOMONTH(O5,0)))</f>
        <v/>
      </c>
      <c r="P4" s="6" t="str">
        <f aca="false">IF(P5="","",(P6-P5+1)/DAY(EOMONTH(P5,0)))</f>
        <v/>
      </c>
      <c r="Q4" s="6" t="str">
        <f aca="false">IF(Q5="","",(Q6-Q5+1)/DAY(EOMONTH(Q5,0)))</f>
        <v/>
      </c>
      <c r="R4" s="6" t="str">
        <f aca="false">IF(R5="","",(R6-R5+1)/DAY(EOMONTH(R5,0)))</f>
        <v/>
      </c>
      <c r="S4" s="6" t="str">
        <f aca="false">IF(S5="","",(S6-S5+1)/DAY(EOMONTH(S5,0)))</f>
        <v/>
      </c>
      <c r="T4" s="6" t="str">
        <f aca="false">IF(T5="","",(T6-T5+1)/DAY(EOMONTH(T5,0)))</f>
        <v/>
      </c>
      <c r="U4" s="6" t="str">
        <f aca="false">IF(U5="","",(U6-U5+1)/DAY(EOMONTH(U5,0)))</f>
        <v/>
      </c>
      <c r="V4" s="6" t="str">
        <f aca="false">IF(V5="","",(V6-V5+1)/DAY(EOMONTH(V5,0)))</f>
        <v/>
      </c>
      <c r="W4" s="6" t="str">
        <f aca="false">IF(W5="","",(W6-W5+1)/DAY(EOMONTH(W5,0)))</f>
        <v/>
      </c>
      <c r="X4" s="6" t="str">
        <f aca="false">IF(X5="","",(X6-X5+1)/DAY(EOMONTH(X5,0)))</f>
        <v/>
      </c>
      <c r="Y4" s="6" t="str">
        <f aca="false">IF(Y5="","",(Y6-Y5+1)/DAY(EOMONTH(Y5,0)))</f>
        <v/>
      </c>
      <c r="Z4" s="6" t="str">
        <f aca="false">IF(Z5="","",(Z6-Z5+1)/DAY(EOMONTH(Z5,0)))</f>
        <v/>
      </c>
    </row>
    <row r="5" customFormat="false" ht="15" hidden="false" customHeight="false" outlineLevel="0" collapsed="false">
      <c r="A5" s="3" t="s">
        <v>136</v>
      </c>
      <c r="B5" s="22" t="str">
        <f aca="false">IF(OR('Cost Margin'!$B$8="",'Cost Margin'!$B$9=""),"",(YEAR('Cost Margin'!$B$9)-YEAR('Cost Margin'!$B$8))*12+MONTH('Cost Margin'!$B$9)-MONTH('Cost Margin'!$B$8)+1)</f>
        <v/>
      </c>
      <c r="C5" s="33" t="str">
        <f aca="false">IF('Cost Margin'!$B$8="","",'Cost Margin'!$B$8)</f>
        <v/>
      </c>
      <c r="D5" s="33" t="str">
        <f aca="false">IF(OR($C$5="",$B$5="",1&gt;=$B$5),"",EOMONTH($C$5,0)+1)</f>
        <v/>
      </c>
      <c r="E5" s="33" t="str">
        <f aca="false">IF(OR($C$5="",$B$5="",2&gt;=$B$5),"",EOMONTH($C$5,1)+1)</f>
        <v/>
      </c>
      <c r="F5" s="33" t="str">
        <f aca="false">IF(OR($C$5="",$B$5="",3&gt;=$B$5),"",EOMONTH($C$5,2)+1)</f>
        <v/>
      </c>
      <c r="G5" s="33" t="str">
        <f aca="false">IF(OR($C$5="",$B$5="",4&gt;=$B$5),"",EOMONTH($C$5,3)+1)</f>
        <v/>
      </c>
      <c r="H5" s="33" t="str">
        <f aca="false">IF(OR($C$5="",$B$5="",5&gt;=$B$5),"",EOMONTH($C$5,4)+1)</f>
        <v/>
      </c>
      <c r="I5" s="33" t="str">
        <f aca="false">IF(OR($C$5="",$B$5="",6&gt;=$B$5),"",EOMONTH($C$5,5)+1)</f>
        <v/>
      </c>
      <c r="J5" s="33" t="str">
        <f aca="false">IF(OR($C$5="",$B$5="",7&gt;=$B$5),"",EOMONTH($C$5,6)+1)</f>
        <v/>
      </c>
      <c r="K5" s="33" t="str">
        <f aca="false">IF(OR($C$5="",$B$5="",8&gt;=$B$5),"",EOMONTH($C$5,7)+1)</f>
        <v/>
      </c>
      <c r="L5" s="33" t="str">
        <f aca="false">IF(OR($C$5="",$B$5="",9&gt;=$B$5),"",EOMONTH($C$5,8)+1)</f>
        <v/>
      </c>
      <c r="M5" s="33" t="str">
        <f aca="false">IF(OR($C$5="",$B$5="",10&gt;=$B$5),"",EOMONTH($C$5,9)+1)</f>
        <v/>
      </c>
      <c r="N5" s="33" t="str">
        <f aca="false">IF(OR($C$5="",$B$5="",11&gt;=$B$5),"",EOMONTH($C$5,10)+1)</f>
        <v/>
      </c>
      <c r="O5" s="33" t="str">
        <f aca="false">IF(OR($C$5="",$B$5="",12&gt;=$B$5),"",EOMONTH($C$5,11)+1)</f>
        <v/>
      </c>
      <c r="P5" s="33" t="str">
        <f aca="false">IF(OR($C$5="",$B$5="",13&gt;=$B$5),"",EOMONTH($C$5,12)+1)</f>
        <v/>
      </c>
      <c r="Q5" s="33" t="str">
        <f aca="false">IF(OR($C$5="",$B$5="",14&gt;=$B$5),"",EOMONTH($C$5,13)+1)</f>
        <v/>
      </c>
      <c r="R5" s="33" t="str">
        <f aca="false">IF(OR($C$5="",$B$5="",15&gt;=$B$5),"",EOMONTH($C$5,14)+1)</f>
        <v/>
      </c>
      <c r="S5" s="33" t="str">
        <f aca="false">IF(OR($C$5="",$B$5="",16&gt;=$B$5),"",EOMONTH($C$5,15)+1)</f>
        <v/>
      </c>
      <c r="T5" s="33" t="str">
        <f aca="false">IF(OR($C$5="",$B$5="",17&gt;=$B$5),"",EOMONTH($C$5,16)+1)</f>
        <v/>
      </c>
      <c r="U5" s="33" t="str">
        <f aca="false">IF(OR($C$5="",$B$5="",18&gt;=$B$5),"",EOMONTH($C$5,17)+1)</f>
        <v/>
      </c>
      <c r="V5" s="33" t="str">
        <f aca="false">IF(OR($C$5="",$B$5="",19&gt;=$B$5),"",EOMONTH($C$5,18)+1)</f>
        <v/>
      </c>
      <c r="W5" s="33" t="str">
        <f aca="false">IF(OR($C$5="",$B$5="",20&gt;=$B$5),"",EOMONTH($C$5,19)+1)</f>
        <v/>
      </c>
      <c r="X5" s="33" t="str">
        <f aca="false">IF(OR($C$5="",$B$5="",21&gt;=$B$5),"",EOMONTH($C$5,20)+1)</f>
        <v/>
      </c>
      <c r="Y5" s="33" t="str">
        <f aca="false">IF(OR($C$5="",$B$5="",22&gt;=$B$5),"",EOMONTH($C$5,21)+1)</f>
        <v/>
      </c>
      <c r="Z5" s="33" t="str">
        <f aca="false">IF(OR($C$5="",$B$5="",23&gt;=$B$5),"",EOMONTH($C$5,22)+1)</f>
        <v/>
      </c>
    </row>
    <row r="6" customFormat="false" ht="15" hidden="false" customHeight="false" outlineLevel="0" collapsed="false">
      <c r="A6" s="3" t="s">
        <v>137</v>
      </c>
      <c r="B6" s="2" t="s">
        <v>138</v>
      </c>
      <c r="C6" s="33" t="str">
        <f aca="false">IF(C5="","",MIN(EOMONTH(C5,0),'Cost Margin'!$B$9))</f>
        <v/>
      </c>
      <c r="D6" s="33" t="str">
        <f aca="false">IF(D5="","",MIN(EOMONTH(D5,0),'Cost Margin'!$B$9))</f>
        <v/>
      </c>
      <c r="E6" s="33" t="str">
        <f aca="false">IF(E5="","",MIN(EOMONTH(E5,0),'Cost Margin'!$B$9))</f>
        <v/>
      </c>
      <c r="F6" s="33" t="str">
        <f aca="false">IF(F5="","",MIN(EOMONTH(F5,0),'Cost Margin'!$B$9))</f>
        <v/>
      </c>
      <c r="G6" s="33" t="str">
        <f aca="false">IF(G5="","",MIN(EOMONTH(G5,0),'Cost Margin'!$B$9))</f>
        <v/>
      </c>
      <c r="H6" s="33" t="str">
        <f aca="false">IF(H5="","",MIN(EOMONTH(H5,0),'Cost Margin'!$B$9))</f>
        <v/>
      </c>
      <c r="I6" s="33" t="str">
        <f aca="false">IF(I5="","",MIN(EOMONTH(I5,0),'Cost Margin'!$B$9))</f>
        <v/>
      </c>
      <c r="J6" s="33" t="str">
        <f aca="false">IF(J5="","",MIN(EOMONTH(J5,0),'Cost Margin'!$B$9))</f>
        <v/>
      </c>
      <c r="K6" s="33" t="str">
        <f aca="false">IF(K5="","",MIN(EOMONTH(K5,0),'Cost Margin'!$B$9))</f>
        <v/>
      </c>
      <c r="L6" s="33" t="str">
        <f aca="false">IF(L5="","",MIN(EOMONTH(L5,0),'Cost Margin'!$B$9))</f>
        <v/>
      </c>
      <c r="M6" s="33" t="str">
        <f aca="false">IF(M5="","",MIN(EOMONTH(M5,0),'Cost Margin'!$B$9))</f>
        <v/>
      </c>
      <c r="N6" s="33" t="str">
        <f aca="false">IF(N5="","",MIN(EOMONTH(N5,0),'Cost Margin'!$B$9))</f>
        <v/>
      </c>
      <c r="O6" s="33" t="str">
        <f aca="false">IF(O5="","",MIN(EOMONTH(O5,0),'Cost Margin'!$B$9))</f>
        <v/>
      </c>
      <c r="P6" s="33" t="str">
        <f aca="false">IF(P5="","",MIN(EOMONTH(P5,0),'Cost Margin'!$B$9))</f>
        <v/>
      </c>
      <c r="Q6" s="33" t="str">
        <f aca="false">IF(Q5="","",MIN(EOMONTH(Q5,0),'Cost Margin'!$B$9))</f>
        <v/>
      </c>
      <c r="R6" s="33" t="str">
        <f aca="false">IF(R5="","",MIN(EOMONTH(R5,0),'Cost Margin'!$B$9))</f>
        <v/>
      </c>
      <c r="S6" s="33" t="str">
        <f aca="false">IF(S5="","",MIN(EOMONTH(S5,0),'Cost Margin'!$B$9))</f>
        <v/>
      </c>
      <c r="T6" s="33" t="str">
        <f aca="false">IF(T5="","",MIN(EOMONTH(T5,0),'Cost Margin'!$B$9))</f>
        <v/>
      </c>
      <c r="U6" s="33" t="str">
        <f aca="false">IF(U5="","",MIN(EOMONTH(U5,0),'Cost Margin'!$B$9))</f>
        <v/>
      </c>
      <c r="V6" s="33" t="str">
        <f aca="false">IF(V5="","",MIN(EOMONTH(V5,0),'Cost Margin'!$B$9))</f>
        <v/>
      </c>
      <c r="W6" s="33" t="str">
        <f aca="false">IF(W5="","",MIN(EOMONTH(W5,0),'Cost Margin'!$B$9))</f>
        <v/>
      </c>
      <c r="X6" s="33" t="str">
        <f aca="false">IF(X5="","",MIN(EOMONTH(X5,0),'Cost Margin'!$B$9))</f>
        <v/>
      </c>
      <c r="Y6" s="33" t="str">
        <f aca="false">IF(Y5="","",MIN(EOMONTH(Y5,0),'Cost Margin'!$B$9))</f>
        <v/>
      </c>
      <c r="Z6" s="33" t="str">
        <f aca="false">IF(Z5="","",MIN(EOMONTH(Z5,0),'Cost Margin'!$B$9))</f>
        <v/>
      </c>
    </row>
    <row r="7" customFormat="false" ht="15" hidden="false" customHeight="false" outlineLevel="0" collapsed="false">
      <c r="A7" s="13" t="s">
        <v>139</v>
      </c>
      <c r="B7" s="13" t="s">
        <v>140</v>
      </c>
      <c r="C7" s="13" t="str">
        <f aca="false">IF(C5="","",TEXT(C5,"mmm yyyy"))</f>
        <v/>
      </c>
      <c r="D7" s="13" t="str">
        <f aca="false">IF(D5="","",TEXT(D5,"mmm yyyy"))</f>
        <v/>
      </c>
      <c r="E7" s="13" t="str">
        <f aca="false">IF(E5="","",TEXT(E5,"mmm yyyy"))</f>
        <v/>
      </c>
      <c r="F7" s="13" t="str">
        <f aca="false">IF(F5="","",TEXT(F5,"mmm yyyy"))</f>
        <v/>
      </c>
      <c r="G7" s="13" t="str">
        <f aca="false">IF(G5="","",TEXT(G5,"mmm yyyy"))</f>
        <v/>
      </c>
      <c r="H7" s="13" t="str">
        <f aca="false">IF(H5="","",TEXT(H5,"mmm yyyy"))</f>
        <v/>
      </c>
      <c r="I7" s="13" t="str">
        <f aca="false">IF(I5="","",TEXT(I5,"mmm yyyy"))</f>
        <v/>
      </c>
      <c r="J7" s="13" t="str">
        <f aca="false">IF(J5="","",TEXT(J5,"mmm yyyy"))</f>
        <v/>
      </c>
      <c r="K7" s="13" t="str">
        <f aca="false">IF(K5="","",TEXT(K5,"mmm yyyy"))</f>
        <v/>
      </c>
      <c r="L7" s="13" t="str">
        <f aca="false">IF(L5="","",TEXT(L5,"mmm yyyy"))</f>
        <v/>
      </c>
      <c r="M7" s="13" t="str">
        <f aca="false">IF(M5="","",TEXT(M5,"mmm yyyy"))</f>
        <v/>
      </c>
      <c r="N7" s="13" t="str">
        <f aca="false">IF(N5="","",TEXT(N5,"mmm yyyy"))</f>
        <v/>
      </c>
      <c r="O7" s="13" t="str">
        <f aca="false">IF(O5="","",TEXT(O5,"mmm yyyy"))</f>
        <v/>
      </c>
      <c r="P7" s="13" t="str">
        <f aca="false">IF(P5="","",TEXT(P5,"mmm yyyy"))</f>
        <v/>
      </c>
      <c r="Q7" s="13" t="str">
        <f aca="false">IF(Q5="","",TEXT(Q5,"mmm yyyy"))</f>
        <v/>
      </c>
      <c r="R7" s="13" t="str">
        <f aca="false">IF(R5="","",TEXT(R5,"mmm yyyy"))</f>
        <v/>
      </c>
      <c r="S7" s="13" t="str">
        <f aca="false">IF(S5="","",TEXT(S5,"mmm yyyy"))</f>
        <v/>
      </c>
      <c r="T7" s="13" t="str">
        <f aca="false">IF(T5="","",TEXT(T5,"mmm yyyy"))</f>
        <v/>
      </c>
      <c r="U7" s="13" t="str">
        <f aca="false">IF(U5="","",TEXT(U5,"mmm yyyy"))</f>
        <v/>
      </c>
      <c r="V7" s="13" t="str">
        <f aca="false">IF(V5="","",TEXT(V5,"mmm yyyy"))</f>
        <v/>
      </c>
      <c r="W7" s="13" t="str">
        <f aca="false">IF(W5="","",TEXT(W5,"mmm yyyy"))</f>
        <v/>
      </c>
      <c r="X7" s="13" t="str">
        <f aca="false">IF(X5="","",TEXT(X5,"mmm yyyy"))</f>
        <v/>
      </c>
      <c r="Y7" s="13" t="str">
        <f aca="false">IF(Y5="","",TEXT(Y5,"mmm yyyy"))</f>
        <v/>
      </c>
      <c r="Z7" s="13" t="str">
        <f aca="false">IF(Z5="","",TEXT(Z5,"mmm yyyy"))</f>
        <v/>
      </c>
      <c r="AA7" s="13" t="s">
        <v>141</v>
      </c>
    </row>
    <row r="8" customFormat="false" ht="15" hidden="false" customHeight="false" outlineLevel="0" collapsed="false">
      <c r="A8" s="3" t="s">
        <v>142</v>
      </c>
      <c r="AB8" s="13" t="s">
        <v>143</v>
      </c>
    </row>
    <row r="9" customFormat="false" ht="15" hidden="false" customHeight="false" outlineLevel="0" collapsed="false">
      <c r="A9" s="0" t="n">
        <v>1</v>
      </c>
      <c r="B9" s="34" t="str">
        <f aca="false">IF('Cost Margin'!A17="","",'Cost Margin'!A17&amp;IF('Cost Margin'!E17="",""," · "&amp;'Cost Margin'!E17))</f>
        <v/>
      </c>
      <c r="C9" s="35" t="n">
        <f aca="false">IF(OR(C$5="",'Cost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Margin'!$K17),C$6)&lt;MAX(IF(OR('Cost Margin'!$B$14="Y",'Cost Margin'!$J17=""),'Cost Margin'!$B$8,'Cost Margin'!$J17),C$5),0,IFERROR(NETWORKDAYS(MAX(IF(OR('Cost Margin'!$B$14="Y",'Cost Margin'!$J17=""),'Cost Margin'!$B$8,'Cost Margin'!$J17),C$5),MIN(IF(OR('Cost Margin'!$B$14="Y",'Cost Margin'!$K17=""),'Cost Margin'!$B$9,'Cost Margin'!$K17),C$6),INDEX(Settings!$A$35:$D$74,0,MATCH('Cost Margin'!$C17,Settings!$A$34:$D$34,0))),NETWORKDAYS(MAX(IF(OR('Cost Margin'!$B$14="Y",'Cost Margin'!$J17=""),'Cost Margin'!$B$8,'Cost Margin'!$J17),C$5),MIN(IF(OR('Cost Margin'!$B$14="Y",'Cost Margin'!$K17=""),'Cost Margin'!$B$9,'Cost Margin'!$K17),C$6)))))</f>
        <v>0</v>
      </c>
      <c r="D9" s="35" t="n">
        <f aca="false">IF(OR(D$5="",'Cost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Margin'!$K17),D$6)&lt;MAX(IF(OR('Cost Margin'!$B$14="Y",'Cost Margin'!$J17=""),'Cost Margin'!$B$8,'Cost Margin'!$J17),D$5),0,IFERROR(NETWORKDAYS(MAX(IF(OR('Cost Margin'!$B$14="Y",'Cost Margin'!$J17=""),'Cost Margin'!$B$8,'Cost Margin'!$J17),D$5),MIN(IF(OR('Cost Margin'!$B$14="Y",'Cost Margin'!$K17=""),'Cost Margin'!$B$9,'Cost Margin'!$K17),D$6),INDEX(Settings!$A$35:$D$74,0,MATCH('Cost Margin'!$C17,Settings!$A$34:$D$34,0))),NETWORKDAYS(MAX(IF(OR('Cost Margin'!$B$14="Y",'Cost Margin'!$J17=""),'Cost Margin'!$B$8,'Cost Margin'!$J17),D$5),MIN(IF(OR('Cost Margin'!$B$14="Y",'Cost Margin'!$K17=""),'Cost Margin'!$B$9,'Cost Margin'!$K17),D$6)))))</f>
        <v>0</v>
      </c>
      <c r="E9" s="35" t="n">
        <f aca="false">IF(OR(E$5="",'Cost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Margin'!$K17),E$6)&lt;MAX(IF(OR('Cost Margin'!$B$14="Y",'Cost Margin'!$J17=""),'Cost Margin'!$B$8,'Cost Margin'!$J17),E$5),0,IFERROR(NETWORKDAYS(MAX(IF(OR('Cost Margin'!$B$14="Y",'Cost Margin'!$J17=""),'Cost Margin'!$B$8,'Cost Margin'!$J17),E$5),MIN(IF(OR('Cost Margin'!$B$14="Y",'Cost Margin'!$K17=""),'Cost Margin'!$B$9,'Cost Margin'!$K17),E$6),INDEX(Settings!$A$35:$D$74,0,MATCH('Cost Margin'!$C17,Settings!$A$34:$D$34,0))),NETWORKDAYS(MAX(IF(OR('Cost Margin'!$B$14="Y",'Cost Margin'!$J17=""),'Cost Margin'!$B$8,'Cost Margin'!$J17),E$5),MIN(IF(OR('Cost Margin'!$B$14="Y",'Cost Margin'!$K17=""),'Cost Margin'!$B$9,'Cost Margin'!$K17),E$6)))))</f>
        <v>0</v>
      </c>
      <c r="F9" s="35" t="n">
        <f aca="false">IF(OR(F$5="",'Cost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Margin'!$K17),F$6)&lt;MAX(IF(OR('Cost Margin'!$B$14="Y",'Cost Margin'!$J17=""),'Cost Margin'!$B$8,'Cost Margin'!$J17),F$5),0,IFERROR(NETWORKDAYS(MAX(IF(OR('Cost Margin'!$B$14="Y",'Cost Margin'!$J17=""),'Cost Margin'!$B$8,'Cost Margin'!$J17),F$5),MIN(IF(OR('Cost Margin'!$B$14="Y",'Cost Margin'!$K17=""),'Cost Margin'!$B$9,'Cost Margin'!$K17),F$6),INDEX(Settings!$A$35:$D$74,0,MATCH('Cost Margin'!$C17,Settings!$A$34:$D$34,0))),NETWORKDAYS(MAX(IF(OR('Cost Margin'!$B$14="Y",'Cost Margin'!$J17=""),'Cost Margin'!$B$8,'Cost Margin'!$J17),F$5),MIN(IF(OR('Cost Margin'!$B$14="Y",'Cost Margin'!$K17=""),'Cost Margin'!$B$9,'Cost Margin'!$K17),F$6)))))</f>
        <v>0</v>
      </c>
      <c r="G9" s="35" t="n">
        <f aca="false">IF(OR(G$5="",'Cost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Margin'!$K17),G$6)&lt;MAX(IF(OR('Cost Margin'!$B$14="Y",'Cost Margin'!$J17=""),'Cost Margin'!$B$8,'Cost Margin'!$J17),G$5),0,IFERROR(NETWORKDAYS(MAX(IF(OR('Cost Margin'!$B$14="Y",'Cost Margin'!$J17=""),'Cost Margin'!$B$8,'Cost Margin'!$J17),G$5),MIN(IF(OR('Cost Margin'!$B$14="Y",'Cost Margin'!$K17=""),'Cost Margin'!$B$9,'Cost Margin'!$K17),G$6),INDEX(Settings!$A$35:$D$74,0,MATCH('Cost Margin'!$C17,Settings!$A$34:$D$34,0))),NETWORKDAYS(MAX(IF(OR('Cost Margin'!$B$14="Y",'Cost Margin'!$J17=""),'Cost Margin'!$B$8,'Cost Margin'!$J17),G$5),MIN(IF(OR('Cost Margin'!$B$14="Y",'Cost Margin'!$K17=""),'Cost Margin'!$B$9,'Cost Margin'!$K17),G$6)))))</f>
        <v>0</v>
      </c>
      <c r="H9" s="35" t="n">
        <f aca="false">IF(OR(H$5="",'Cost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Margin'!$K17),H$6)&lt;MAX(IF(OR('Cost Margin'!$B$14="Y",'Cost Margin'!$J17=""),'Cost Margin'!$B$8,'Cost Margin'!$J17),H$5),0,IFERROR(NETWORKDAYS(MAX(IF(OR('Cost Margin'!$B$14="Y",'Cost Margin'!$J17=""),'Cost Margin'!$B$8,'Cost Margin'!$J17),H$5),MIN(IF(OR('Cost Margin'!$B$14="Y",'Cost Margin'!$K17=""),'Cost Margin'!$B$9,'Cost Margin'!$K17),H$6),INDEX(Settings!$A$35:$D$74,0,MATCH('Cost Margin'!$C17,Settings!$A$34:$D$34,0))),NETWORKDAYS(MAX(IF(OR('Cost Margin'!$B$14="Y",'Cost Margin'!$J17=""),'Cost Margin'!$B$8,'Cost Margin'!$J17),H$5),MIN(IF(OR('Cost Margin'!$B$14="Y",'Cost Margin'!$K17=""),'Cost Margin'!$B$9,'Cost Margin'!$K17),H$6)))))</f>
        <v>0</v>
      </c>
      <c r="I9" s="35" t="n">
        <f aca="false">IF(OR(I$5="",'Cost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Margin'!$K17),I$6)&lt;MAX(IF(OR('Cost Margin'!$B$14="Y",'Cost Margin'!$J17=""),'Cost Margin'!$B$8,'Cost Margin'!$J17),I$5),0,IFERROR(NETWORKDAYS(MAX(IF(OR('Cost Margin'!$B$14="Y",'Cost Margin'!$J17=""),'Cost Margin'!$B$8,'Cost Margin'!$J17),I$5),MIN(IF(OR('Cost Margin'!$B$14="Y",'Cost Margin'!$K17=""),'Cost Margin'!$B$9,'Cost Margin'!$K17),I$6),INDEX(Settings!$A$35:$D$74,0,MATCH('Cost Margin'!$C17,Settings!$A$34:$D$34,0))),NETWORKDAYS(MAX(IF(OR('Cost Margin'!$B$14="Y",'Cost Margin'!$J17=""),'Cost Margin'!$B$8,'Cost Margin'!$J17),I$5),MIN(IF(OR('Cost Margin'!$B$14="Y",'Cost Margin'!$K17=""),'Cost Margin'!$B$9,'Cost Margin'!$K17),I$6)))))</f>
        <v>0</v>
      </c>
      <c r="J9" s="35" t="n">
        <f aca="false">IF(OR(J$5="",'Cost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Margin'!$K17),J$6)&lt;MAX(IF(OR('Cost Margin'!$B$14="Y",'Cost Margin'!$J17=""),'Cost Margin'!$B$8,'Cost Margin'!$J17),J$5),0,IFERROR(NETWORKDAYS(MAX(IF(OR('Cost Margin'!$B$14="Y",'Cost Margin'!$J17=""),'Cost Margin'!$B$8,'Cost Margin'!$J17),J$5),MIN(IF(OR('Cost Margin'!$B$14="Y",'Cost Margin'!$K17=""),'Cost Margin'!$B$9,'Cost Margin'!$K17),J$6),INDEX(Settings!$A$35:$D$74,0,MATCH('Cost Margin'!$C17,Settings!$A$34:$D$34,0))),NETWORKDAYS(MAX(IF(OR('Cost Margin'!$B$14="Y",'Cost Margin'!$J17=""),'Cost Margin'!$B$8,'Cost Margin'!$J17),J$5),MIN(IF(OR('Cost Margin'!$B$14="Y",'Cost Margin'!$K17=""),'Cost Margin'!$B$9,'Cost Margin'!$K17),J$6)))))</f>
        <v>0</v>
      </c>
      <c r="K9" s="35" t="n">
        <f aca="false">IF(OR(K$5="",'Cost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Margin'!$K17),K$6)&lt;MAX(IF(OR('Cost Margin'!$B$14="Y",'Cost Margin'!$J17=""),'Cost Margin'!$B$8,'Cost Margin'!$J17),K$5),0,IFERROR(NETWORKDAYS(MAX(IF(OR('Cost Margin'!$B$14="Y",'Cost Margin'!$J17=""),'Cost Margin'!$B$8,'Cost Margin'!$J17),K$5),MIN(IF(OR('Cost Margin'!$B$14="Y",'Cost Margin'!$K17=""),'Cost Margin'!$B$9,'Cost Margin'!$K17),K$6),INDEX(Settings!$A$35:$D$74,0,MATCH('Cost Margin'!$C17,Settings!$A$34:$D$34,0))),NETWORKDAYS(MAX(IF(OR('Cost Margin'!$B$14="Y",'Cost Margin'!$J17=""),'Cost Margin'!$B$8,'Cost Margin'!$J17),K$5),MIN(IF(OR('Cost Margin'!$B$14="Y",'Cost Margin'!$K17=""),'Cost Margin'!$B$9,'Cost Margin'!$K17),K$6)))))</f>
        <v>0</v>
      </c>
      <c r="L9" s="35" t="n">
        <f aca="false">IF(OR(L$5="",'Cost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Margin'!$K17),L$6)&lt;MAX(IF(OR('Cost Margin'!$B$14="Y",'Cost Margin'!$J17=""),'Cost Margin'!$B$8,'Cost Margin'!$J17),L$5),0,IFERROR(NETWORKDAYS(MAX(IF(OR('Cost Margin'!$B$14="Y",'Cost Margin'!$J17=""),'Cost Margin'!$B$8,'Cost Margin'!$J17),L$5),MIN(IF(OR('Cost Margin'!$B$14="Y",'Cost Margin'!$K17=""),'Cost Margin'!$B$9,'Cost Margin'!$K17),L$6),INDEX(Settings!$A$35:$D$74,0,MATCH('Cost Margin'!$C17,Settings!$A$34:$D$34,0))),NETWORKDAYS(MAX(IF(OR('Cost Margin'!$B$14="Y",'Cost Margin'!$J17=""),'Cost Margin'!$B$8,'Cost Margin'!$J17),L$5),MIN(IF(OR('Cost Margin'!$B$14="Y",'Cost Margin'!$K17=""),'Cost Margin'!$B$9,'Cost Margin'!$K17),L$6)))))</f>
        <v>0</v>
      </c>
      <c r="M9" s="35" t="n">
        <f aca="false">IF(OR(M$5="",'Cost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Margin'!$K17),M$6)&lt;MAX(IF(OR('Cost Margin'!$B$14="Y",'Cost Margin'!$J17=""),'Cost Margin'!$B$8,'Cost Margin'!$J17),M$5),0,IFERROR(NETWORKDAYS(MAX(IF(OR('Cost Margin'!$B$14="Y",'Cost Margin'!$J17=""),'Cost Margin'!$B$8,'Cost Margin'!$J17),M$5),MIN(IF(OR('Cost Margin'!$B$14="Y",'Cost Margin'!$K17=""),'Cost Margin'!$B$9,'Cost Margin'!$K17),M$6),INDEX(Settings!$A$35:$D$74,0,MATCH('Cost Margin'!$C17,Settings!$A$34:$D$34,0))),NETWORKDAYS(MAX(IF(OR('Cost Margin'!$B$14="Y",'Cost Margin'!$J17=""),'Cost Margin'!$B$8,'Cost Margin'!$J17),M$5),MIN(IF(OR('Cost Margin'!$B$14="Y",'Cost Margin'!$K17=""),'Cost Margin'!$B$9,'Cost Margin'!$K17),M$6)))))</f>
        <v>0</v>
      </c>
      <c r="N9" s="35" t="n">
        <f aca="false">IF(OR(N$5="",'Cost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Margin'!$K17),N$6)&lt;MAX(IF(OR('Cost Margin'!$B$14="Y",'Cost Margin'!$J17=""),'Cost Margin'!$B$8,'Cost Margin'!$J17),N$5),0,IFERROR(NETWORKDAYS(MAX(IF(OR('Cost Margin'!$B$14="Y",'Cost Margin'!$J17=""),'Cost Margin'!$B$8,'Cost Margin'!$J17),N$5),MIN(IF(OR('Cost Margin'!$B$14="Y",'Cost Margin'!$K17=""),'Cost Margin'!$B$9,'Cost Margin'!$K17),N$6),INDEX(Settings!$A$35:$D$74,0,MATCH('Cost Margin'!$C17,Settings!$A$34:$D$34,0))),NETWORKDAYS(MAX(IF(OR('Cost Margin'!$B$14="Y",'Cost Margin'!$J17=""),'Cost Margin'!$B$8,'Cost Margin'!$J17),N$5),MIN(IF(OR('Cost Margin'!$B$14="Y",'Cost Margin'!$K17=""),'Cost Margin'!$B$9,'Cost Margin'!$K17),N$6)))))</f>
        <v>0</v>
      </c>
      <c r="O9" s="35" t="n">
        <f aca="false">IF(OR(O$5="",'Cost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Margin'!$K17),O$6)&lt;MAX(IF(OR('Cost Margin'!$B$14="Y",'Cost Margin'!$J17=""),'Cost Margin'!$B$8,'Cost Margin'!$J17),O$5),0,IFERROR(NETWORKDAYS(MAX(IF(OR('Cost Margin'!$B$14="Y",'Cost Margin'!$J17=""),'Cost Margin'!$B$8,'Cost Margin'!$J17),O$5),MIN(IF(OR('Cost Margin'!$B$14="Y",'Cost Margin'!$K17=""),'Cost Margin'!$B$9,'Cost Margin'!$K17),O$6),INDEX(Settings!$A$35:$D$74,0,MATCH('Cost Margin'!$C17,Settings!$A$34:$D$34,0))),NETWORKDAYS(MAX(IF(OR('Cost Margin'!$B$14="Y",'Cost Margin'!$J17=""),'Cost Margin'!$B$8,'Cost Margin'!$J17),O$5),MIN(IF(OR('Cost Margin'!$B$14="Y",'Cost Margin'!$K17=""),'Cost Margin'!$B$9,'Cost Margin'!$K17),O$6)))))</f>
        <v>0</v>
      </c>
      <c r="P9" s="35" t="n">
        <f aca="false">IF(OR(P$5="",'Cost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Margin'!$K17),P$6)&lt;MAX(IF(OR('Cost Margin'!$B$14="Y",'Cost Margin'!$J17=""),'Cost Margin'!$B$8,'Cost Margin'!$J17),P$5),0,IFERROR(NETWORKDAYS(MAX(IF(OR('Cost Margin'!$B$14="Y",'Cost Margin'!$J17=""),'Cost Margin'!$B$8,'Cost Margin'!$J17),P$5),MIN(IF(OR('Cost Margin'!$B$14="Y",'Cost Margin'!$K17=""),'Cost Margin'!$B$9,'Cost Margin'!$K17),P$6),INDEX(Settings!$A$35:$D$74,0,MATCH('Cost Margin'!$C17,Settings!$A$34:$D$34,0))),NETWORKDAYS(MAX(IF(OR('Cost Margin'!$B$14="Y",'Cost Margin'!$J17=""),'Cost Margin'!$B$8,'Cost Margin'!$J17),P$5),MIN(IF(OR('Cost Margin'!$B$14="Y",'Cost Margin'!$K17=""),'Cost Margin'!$B$9,'Cost Margin'!$K17),P$6)))))</f>
        <v>0</v>
      </c>
      <c r="Q9" s="35" t="n">
        <f aca="false">IF(OR(Q$5="",'Cost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Margin'!$K17),Q$6)&lt;MAX(IF(OR('Cost Margin'!$B$14="Y",'Cost Margin'!$J17=""),'Cost Margin'!$B$8,'Cost Margin'!$J17),Q$5),0,IFERROR(NETWORKDAYS(MAX(IF(OR('Cost Margin'!$B$14="Y",'Cost Margin'!$J17=""),'Cost Margin'!$B$8,'Cost Margin'!$J17),Q$5),MIN(IF(OR('Cost Margin'!$B$14="Y",'Cost Margin'!$K17=""),'Cost Margin'!$B$9,'Cost Margin'!$K17),Q$6),INDEX(Settings!$A$35:$D$74,0,MATCH('Cost Margin'!$C17,Settings!$A$34:$D$34,0))),NETWORKDAYS(MAX(IF(OR('Cost Margin'!$B$14="Y",'Cost Margin'!$J17=""),'Cost Margin'!$B$8,'Cost Margin'!$J17),Q$5),MIN(IF(OR('Cost Margin'!$B$14="Y",'Cost Margin'!$K17=""),'Cost Margin'!$B$9,'Cost Margin'!$K17),Q$6)))))</f>
        <v>0</v>
      </c>
      <c r="R9" s="35" t="n">
        <f aca="false">IF(OR(R$5="",'Cost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Margin'!$K17),R$6)&lt;MAX(IF(OR('Cost Margin'!$B$14="Y",'Cost Margin'!$J17=""),'Cost Margin'!$B$8,'Cost Margin'!$J17),R$5),0,IFERROR(NETWORKDAYS(MAX(IF(OR('Cost Margin'!$B$14="Y",'Cost Margin'!$J17=""),'Cost Margin'!$B$8,'Cost Margin'!$J17),R$5),MIN(IF(OR('Cost Margin'!$B$14="Y",'Cost Margin'!$K17=""),'Cost Margin'!$B$9,'Cost Margin'!$K17),R$6),INDEX(Settings!$A$35:$D$74,0,MATCH('Cost Margin'!$C17,Settings!$A$34:$D$34,0))),NETWORKDAYS(MAX(IF(OR('Cost Margin'!$B$14="Y",'Cost Margin'!$J17=""),'Cost Margin'!$B$8,'Cost Margin'!$J17),R$5),MIN(IF(OR('Cost Margin'!$B$14="Y",'Cost Margin'!$K17=""),'Cost Margin'!$B$9,'Cost Margin'!$K17),R$6)))))</f>
        <v>0</v>
      </c>
      <c r="S9" s="35" t="n">
        <f aca="false">IF(OR(S$5="",'Cost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Margin'!$K17),S$6)&lt;MAX(IF(OR('Cost Margin'!$B$14="Y",'Cost Margin'!$J17=""),'Cost Margin'!$B$8,'Cost Margin'!$J17),S$5),0,IFERROR(NETWORKDAYS(MAX(IF(OR('Cost Margin'!$B$14="Y",'Cost Margin'!$J17=""),'Cost Margin'!$B$8,'Cost Margin'!$J17),S$5),MIN(IF(OR('Cost Margin'!$B$14="Y",'Cost Margin'!$K17=""),'Cost Margin'!$B$9,'Cost Margin'!$K17),S$6),INDEX(Settings!$A$35:$D$74,0,MATCH('Cost Margin'!$C17,Settings!$A$34:$D$34,0))),NETWORKDAYS(MAX(IF(OR('Cost Margin'!$B$14="Y",'Cost Margin'!$J17=""),'Cost Margin'!$B$8,'Cost Margin'!$J17),S$5),MIN(IF(OR('Cost Margin'!$B$14="Y",'Cost Margin'!$K17=""),'Cost Margin'!$B$9,'Cost Margin'!$K17),S$6)))))</f>
        <v>0</v>
      </c>
      <c r="T9" s="35" t="n">
        <f aca="false">IF(OR(T$5="",'Cost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Margin'!$K17),T$6)&lt;MAX(IF(OR('Cost Margin'!$B$14="Y",'Cost Margin'!$J17=""),'Cost Margin'!$B$8,'Cost Margin'!$J17),T$5),0,IFERROR(NETWORKDAYS(MAX(IF(OR('Cost Margin'!$B$14="Y",'Cost Margin'!$J17=""),'Cost Margin'!$B$8,'Cost Margin'!$J17),T$5),MIN(IF(OR('Cost Margin'!$B$14="Y",'Cost Margin'!$K17=""),'Cost Margin'!$B$9,'Cost Margin'!$K17),T$6),INDEX(Settings!$A$35:$D$74,0,MATCH('Cost Margin'!$C17,Settings!$A$34:$D$34,0))),NETWORKDAYS(MAX(IF(OR('Cost Margin'!$B$14="Y",'Cost Margin'!$J17=""),'Cost Margin'!$B$8,'Cost Margin'!$J17),T$5),MIN(IF(OR('Cost Margin'!$B$14="Y",'Cost Margin'!$K17=""),'Cost Margin'!$B$9,'Cost Margin'!$K17),T$6)))))</f>
        <v>0</v>
      </c>
      <c r="U9" s="35" t="n">
        <f aca="false">IF(OR(U$5="",'Cost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Margin'!$K17),U$6)&lt;MAX(IF(OR('Cost Margin'!$B$14="Y",'Cost Margin'!$J17=""),'Cost Margin'!$B$8,'Cost Margin'!$J17),U$5),0,IFERROR(NETWORKDAYS(MAX(IF(OR('Cost Margin'!$B$14="Y",'Cost Margin'!$J17=""),'Cost Margin'!$B$8,'Cost Margin'!$J17),U$5),MIN(IF(OR('Cost Margin'!$B$14="Y",'Cost Margin'!$K17=""),'Cost Margin'!$B$9,'Cost Margin'!$K17),U$6),INDEX(Settings!$A$35:$D$74,0,MATCH('Cost Margin'!$C17,Settings!$A$34:$D$34,0))),NETWORKDAYS(MAX(IF(OR('Cost Margin'!$B$14="Y",'Cost Margin'!$J17=""),'Cost Margin'!$B$8,'Cost Margin'!$J17),U$5),MIN(IF(OR('Cost Margin'!$B$14="Y",'Cost Margin'!$K17=""),'Cost Margin'!$B$9,'Cost Margin'!$K17),U$6)))))</f>
        <v>0</v>
      </c>
      <c r="V9" s="35" t="n">
        <f aca="false">IF(OR(V$5="",'Cost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Margin'!$K17),V$6)&lt;MAX(IF(OR('Cost Margin'!$B$14="Y",'Cost Margin'!$J17=""),'Cost Margin'!$B$8,'Cost Margin'!$J17),V$5),0,IFERROR(NETWORKDAYS(MAX(IF(OR('Cost Margin'!$B$14="Y",'Cost Margin'!$J17=""),'Cost Margin'!$B$8,'Cost Margin'!$J17),V$5),MIN(IF(OR('Cost Margin'!$B$14="Y",'Cost Margin'!$K17=""),'Cost Margin'!$B$9,'Cost Margin'!$K17),V$6),INDEX(Settings!$A$35:$D$74,0,MATCH('Cost Margin'!$C17,Settings!$A$34:$D$34,0))),NETWORKDAYS(MAX(IF(OR('Cost Margin'!$B$14="Y",'Cost Margin'!$J17=""),'Cost Margin'!$B$8,'Cost Margin'!$J17),V$5),MIN(IF(OR('Cost Margin'!$B$14="Y",'Cost Margin'!$K17=""),'Cost Margin'!$B$9,'Cost Margin'!$K17),V$6)))))</f>
        <v>0</v>
      </c>
      <c r="W9" s="35" t="n">
        <f aca="false">IF(OR(W$5="",'Cost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Margin'!$K17),W$6)&lt;MAX(IF(OR('Cost Margin'!$B$14="Y",'Cost Margin'!$J17=""),'Cost Margin'!$B$8,'Cost Margin'!$J17),W$5),0,IFERROR(NETWORKDAYS(MAX(IF(OR('Cost Margin'!$B$14="Y",'Cost Margin'!$J17=""),'Cost Margin'!$B$8,'Cost Margin'!$J17),W$5),MIN(IF(OR('Cost Margin'!$B$14="Y",'Cost Margin'!$K17=""),'Cost Margin'!$B$9,'Cost Margin'!$K17),W$6),INDEX(Settings!$A$35:$D$74,0,MATCH('Cost Margin'!$C17,Settings!$A$34:$D$34,0))),NETWORKDAYS(MAX(IF(OR('Cost Margin'!$B$14="Y",'Cost Margin'!$J17=""),'Cost Margin'!$B$8,'Cost Margin'!$J17),W$5),MIN(IF(OR('Cost Margin'!$B$14="Y",'Cost Margin'!$K17=""),'Cost Margin'!$B$9,'Cost Margin'!$K17),W$6)))))</f>
        <v>0</v>
      </c>
      <c r="X9" s="35" t="n">
        <f aca="false">IF(OR(X$5="",'Cost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Margin'!$K17),X$6)&lt;MAX(IF(OR('Cost Margin'!$B$14="Y",'Cost Margin'!$J17=""),'Cost Margin'!$B$8,'Cost Margin'!$J17),X$5),0,IFERROR(NETWORKDAYS(MAX(IF(OR('Cost Margin'!$B$14="Y",'Cost Margin'!$J17=""),'Cost Margin'!$B$8,'Cost Margin'!$J17),X$5),MIN(IF(OR('Cost Margin'!$B$14="Y",'Cost Margin'!$K17=""),'Cost Margin'!$B$9,'Cost Margin'!$K17),X$6),INDEX(Settings!$A$35:$D$74,0,MATCH('Cost Margin'!$C17,Settings!$A$34:$D$34,0))),NETWORKDAYS(MAX(IF(OR('Cost Margin'!$B$14="Y",'Cost Margin'!$J17=""),'Cost Margin'!$B$8,'Cost Margin'!$J17),X$5),MIN(IF(OR('Cost Margin'!$B$14="Y",'Cost Margin'!$K17=""),'Cost Margin'!$B$9,'Cost Margin'!$K17),X$6)))))</f>
        <v>0</v>
      </c>
      <c r="Y9" s="35" t="n">
        <f aca="false">IF(OR(Y$5="",'Cost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Margin'!$K17),Y$6)&lt;MAX(IF(OR('Cost Margin'!$B$14="Y",'Cost Margin'!$J17=""),'Cost Margin'!$B$8,'Cost Margin'!$J17),Y$5),0,IFERROR(NETWORKDAYS(MAX(IF(OR('Cost Margin'!$B$14="Y",'Cost Margin'!$J17=""),'Cost Margin'!$B$8,'Cost Margin'!$J17),Y$5),MIN(IF(OR('Cost Margin'!$B$14="Y",'Cost Margin'!$K17=""),'Cost Margin'!$B$9,'Cost Margin'!$K17),Y$6),INDEX(Settings!$A$35:$D$74,0,MATCH('Cost Margin'!$C17,Settings!$A$34:$D$34,0))),NETWORKDAYS(MAX(IF(OR('Cost Margin'!$B$14="Y",'Cost Margin'!$J17=""),'Cost Margin'!$B$8,'Cost Margin'!$J17),Y$5),MIN(IF(OR('Cost Margin'!$B$14="Y",'Cost Margin'!$K17=""),'Cost Margin'!$B$9,'Cost Margin'!$K17),Y$6)))))</f>
        <v>0</v>
      </c>
      <c r="Z9" s="35" t="n">
        <f aca="false">IF(OR(Z$5="",'Cost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Margin'!$K17),Z$6)&lt;MAX(IF(OR('Cost Margin'!$B$14="Y",'Cost Margin'!$J17=""),'Cost Margin'!$B$8,'Cost Margin'!$J17),Z$5),0,IFERROR(NETWORKDAYS(MAX(IF(OR('Cost Margin'!$B$14="Y",'Cost Margin'!$J17=""),'Cost Margin'!$B$8,'Cost Margin'!$J17),Z$5),MIN(IF(OR('Cost Margin'!$B$14="Y",'Cost Margin'!$K17=""),'Cost Margin'!$B$9,'Cost Margin'!$K17),Z$6),INDEX(Settings!$A$35:$D$74,0,MATCH('Cost Margin'!$C17,Settings!$A$34:$D$34,0))),NETWORKDAYS(MAX(IF(OR('Cost Margin'!$B$14="Y",'Cost Margin'!$J17=""),'Cost Margin'!$B$8,'Cost Margin'!$J17),Z$5),MIN(IF(OR('Cost Margin'!$B$14="Y",'Cost Margin'!$K17=""),'Cost Margin'!$B$9,'Cost Margin'!$K17),Z$6)))))</f>
        <v>0</v>
      </c>
      <c r="AB9" s="34" t="str">
        <f aca="false">IF('Cost Margin'!A17="","",IF('Cost Margin'!E17="","(unassigned)",'Cost Margin'!E17))</f>
        <v/>
      </c>
    </row>
    <row r="10" customFormat="false" ht="15" hidden="false" customHeight="false" outlineLevel="0" collapsed="false">
      <c r="A10" s="0" t="n">
        <v>2</v>
      </c>
      <c r="B10" s="34" t="str">
        <f aca="false">IF('Cost Margin'!A18="","",'Cost Margin'!A18&amp;IF('Cost Margin'!E18="",""," · "&amp;'Cost Margin'!E18))</f>
        <v/>
      </c>
      <c r="C10" s="35" t="n">
        <f aca="false">IF(OR(C$5="",'Cost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Margin'!$K18),C$6)&lt;MAX(IF(OR('Cost Margin'!$B$14="Y",'Cost Margin'!$J18=""),'Cost Margin'!$B$8,'Cost Margin'!$J18),C$5),0,IFERROR(NETWORKDAYS(MAX(IF(OR('Cost Margin'!$B$14="Y",'Cost Margin'!$J18=""),'Cost Margin'!$B$8,'Cost Margin'!$J18),C$5),MIN(IF(OR('Cost Margin'!$B$14="Y",'Cost Margin'!$K18=""),'Cost Margin'!$B$9,'Cost Margin'!$K18),C$6),INDEX(Settings!$A$35:$D$74,0,MATCH('Cost Margin'!$C18,Settings!$A$34:$D$34,0))),NETWORKDAYS(MAX(IF(OR('Cost Margin'!$B$14="Y",'Cost Margin'!$J18=""),'Cost Margin'!$B$8,'Cost Margin'!$J18),C$5),MIN(IF(OR('Cost Margin'!$B$14="Y",'Cost Margin'!$K18=""),'Cost Margin'!$B$9,'Cost Margin'!$K18),C$6)))))</f>
        <v>0</v>
      </c>
      <c r="D10" s="35" t="n">
        <f aca="false">IF(OR(D$5="",'Cost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Margin'!$K18),D$6)&lt;MAX(IF(OR('Cost Margin'!$B$14="Y",'Cost Margin'!$J18=""),'Cost Margin'!$B$8,'Cost Margin'!$J18),D$5),0,IFERROR(NETWORKDAYS(MAX(IF(OR('Cost Margin'!$B$14="Y",'Cost Margin'!$J18=""),'Cost Margin'!$B$8,'Cost Margin'!$J18),D$5),MIN(IF(OR('Cost Margin'!$B$14="Y",'Cost Margin'!$K18=""),'Cost Margin'!$B$9,'Cost Margin'!$K18),D$6),INDEX(Settings!$A$35:$D$74,0,MATCH('Cost Margin'!$C18,Settings!$A$34:$D$34,0))),NETWORKDAYS(MAX(IF(OR('Cost Margin'!$B$14="Y",'Cost Margin'!$J18=""),'Cost Margin'!$B$8,'Cost Margin'!$J18),D$5),MIN(IF(OR('Cost Margin'!$B$14="Y",'Cost Margin'!$K18=""),'Cost Margin'!$B$9,'Cost Margin'!$K18),D$6)))))</f>
        <v>0</v>
      </c>
      <c r="E10" s="35" t="n">
        <f aca="false">IF(OR(E$5="",'Cost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Margin'!$K18),E$6)&lt;MAX(IF(OR('Cost Margin'!$B$14="Y",'Cost Margin'!$J18=""),'Cost Margin'!$B$8,'Cost Margin'!$J18),E$5),0,IFERROR(NETWORKDAYS(MAX(IF(OR('Cost Margin'!$B$14="Y",'Cost Margin'!$J18=""),'Cost Margin'!$B$8,'Cost Margin'!$J18),E$5),MIN(IF(OR('Cost Margin'!$B$14="Y",'Cost Margin'!$K18=""),'Cost Margin'!$B$9,'Cost Margin'!$K18),E$6),INDEX(Settings!$A$35:$D$74,0,MATCH('Cost Margin'!$C18,Settings!$A$34:$D$34,0))),NETWORKDAYS(MAX(IF(OR('Cost Margin'!$B$14="Y",'Cost Margin'!$J18=""),'Cost Margin'!$B$8,'Cost Margin'!$J18),E$5),MIN(IF(OR('Cost Margin'!$B$14="Y",'Cost Margin'!$K18=""),'Cost Margin'!$B$9,'Cost Margin'!$K18),E$6)))))</f>
        <v>0</v>
      </c>
      <c r="F10" s="35" t="n">
        <f aca="false">IF(OR(F$5="",'Cost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Margin'!$K18),F$6)&lt;MAX(IF(OR('Cost Margin'!$B$14="Y",'Cost Margin'!$J18=""),'Cost Margin'!$B$8,'Cost Margin'!$J18),F$5),0,IFERROR(NETWORKDAYS(MAX(IF(OR('Cost Margin'!$B$14="Y",'Cost Margin'!$J18=""),'Cost Margin'!$B$8,'Cost Margin'!$J18),F$5),MIN(IF(OR('Cost Margin'!$B$14="Y",'Cost Margin'!$K18=""),'Cost Margin'!$B$9,'Cost Margin'!$K18),F$6),INDEX(Settings!$A$35:$D$74,0,MATCH('Cost Margin'!$C18,Settings!$A$34:$D$34,0))),NETWORKDAYS(MAX(IF(OR('Cost Margin'!$B$14="Y",'Cost Margin'!$J18=""),'Cost Margin'!$B$8,'Cost Margin'!$J18),F$5),MIN(IF(OR('Cost Margin'!$B$14="Y",'Cost Margin'!$K18=""),'Cost Margin'!$B$9,'Cost Margin'!$K18),F$6)))))</f>
        <v>0</v>
      </c>
      <c r="G10" s="35" t="n">
        <f aca="false">IF(OR(G$5="",'Cost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Margin'!$K18),G$6)&lt;MAX(IF(OR('Cost Margin'!$B$14="Y",'Cost Margin'!$J18=""),'Cost Margin'!$B$8,'Cost Margin'!$J18),G$5),0,IFERROR(NETWORKDAYS(MAX(IF(OR('Cost Margin'!$B$14="Y",'Cost Margin'!$J18=""),'Cost Margin'!$B$8,'Cost Margin'!$J18),G$5),MIN(IF(OR('Cost Margin'!$B$14="Y",'Cost Margin'!$K18=""),'Cost Margin'!$B$9,'Cost Margin'!$K18),G$6),INDEX(Settings!$A$35:$D$74,0,MATCH('Cost Margin'!$C18,Settings!$A$34:$D$34,0))),NETWORKDAYS(MAX(IF(OR('Cost Margin'!$B$14="Y",'Cost Margin'!$J18=""),'Cost Margin'!$B$8,'Cost Margin'!$J18),G$5),MIN(IF(OR('Cost Margin'!$B$14="Y",'Cost Margin'!$K18=""),'Cost Margin'!$B$9,'Cost Margin'!$K18),G$6)))))</f>
        <v>0</v>
      </c>
      <c r="H10" s="35" t="n">
        <f aca="false">IF(OR(H$5="",'Cost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Margin'!$K18),H$6)&lt;MAX(IF(OR('Cost Margin'!$B$14="Y",'Cost Margin'!$J18=""),'Cost Margin'!$B$8,'Cost Margin'!$J18),H$5),0,IFERROR(NETWORKDAYS(MAX(IF(OR('Cost Margin'!$B$14="Y",'Cost Margin'!$J18=""),'Cost Margin'!$B$8,'Cost Margin'!$J18),H$5),MIN(IF(OR('Cost Margin'!$B$14="Y",'Cost Margin'!$K18=""),'Cost Margin'!$B$9,'Cost Margin'!$K18),H$6),INDEX(Settings!$A$35:$D$74,0,MATCH('Cost Margin'!$C18,Settings!$A$34:$D$34,0))),NETWORKDAYS(MAX(IF(OR('Cost Margin'!$B$14="Y",'Cost Margin'!$J18=""),'Cost Margin'!$B$8,'Cost Margin'!$J18),H$5),MIN(IF(OR('Cost Margin'!$B$14="Y",'Cost Margin'!$K18=""),'Cost Margin'!$B$9,'Cost Margin'!$K18),H$6)))))</f>
        <v>0</v>
      </c>
      <c r="I10" s="35" t="n">
        <f aca="false">IF(OR(I$5="",'Cost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Margin'!$K18),I$6)&lt;MAX(IF(OR('Cost Margin'!$B$14="Y",'Cost Margin'!$J18=""),'Cost Margin'!$B$8,'Cost Margin'!$J18),I$5),0,IFERROR(NETWORKDAYS(MAX(IF(OR('Cost Margin'!$B$14="Y",'Cost Margin'!$J18=""),'Cost Margin'!$B$8,'Cost Margin'!$J18),I$5),MIN(IF(OR('Cost Margin'!$B$14="Y",'Cost Margin'!$K18=""),'Cost Margin'!$B$9,'Cost Margin'!$K18),I$6),INDEX(Settings!$A$35:$D$74,0,MATCH('Cost Margin'!$C18,Settings!$A$34:$D$34,0))),NETWORKDAYS(MAX(IF(OR('Cost Margin'!$B$14="Y",'Cost Margin'!$J18=""),'Cost Margin'!$B$8,'Cost Margin'!$J18),I$5),MIN(IF(OR('Cost Margin'!$B$14="Y",'Cost Margin'!$K18=""),'Cost Margin'!$B$9,'Cost Margin'!$K18),I$6)))))</f>
        <v>0</v>
      </c>
      <c r="J10" s="35" t="n">
        <f aca="false">IF(OR(J$5="",'Cost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Margin'!$K18),J$6)&lt;MAX(IF(OR('Cost Margin'!$B$14="Y",'Cost Margin'!$J18=""),'Cost Margin'!$B$8,'Cost Margin'!$J18),J$5),0,IFERROR(NETWORKDAYS(MAX(IF(OR('Cost Margin'!$B$14="Y",'Cost Margin'!$J18=""),'Cost Margin'!$B$8,'Cost Margin'!$J18),J$5),MIN(IF(OR('Cost Margin'!$B$14="Y",'Cost Margin'!$K18=""),'Cost Margin'!$B$9,'Cost Margin'!$K18),J$6),INDEX(Settings!$A$35:$D$74,0,MATCH('Cost Margin'!$C18,Settings!$A$34:$D$34,0))),NETWORKDAYS(MAX(IF(OR('Cost Margin'!$B$14="Y",'Cost Margin'!$J18=""),'Cost Margin'!$B$8,'Cost Margin'!$J18),J$5),MIN(IF(OR('Cost Margin'!$B$14="Y",'Cost Margin'!$K18=""),'Cost Margin'!$B$9,'Cost Margin'!$K18),J$6)))))</f>
        <v>0</v>
      </c>
      <c r="K10" s="35" t="n">
        <f aca="false">IF(OR(K$5="",'Cost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Margin'!$K18),K$6)&lt;MAX(IF(OR('Cost Margin'!$B$14="Y",'Cost Margin'!$J18=""),'Cost Margin'!$B$8,'Cost Margin'!$J18),K$5),0,IFERROR(NETWORKDAYS(MAX(IF(OR('Cost Margin'!$B$14="Y",'Cost Margin'!$J18=""),'Cost Margin'!$B$8,'Cost Margin'!$J18),K$5),MIN(IF(OR('Cost Margin'!$B$14="Y",'Cost Margin'!$K18=""),'Cost Margin'!$B$9,'Cost Margin'!$K18),K$6),INDEX(Settings!$A$35:$D$74,0,MATCH('Cost Margin'!$C18,Settings!$A$34:$D$34,0))),NETWORKDAYS(MAX(IF(OR('Cost Margin'!$B$14="Y",'Cost Margin'!$J18=""),'Cost Margin'!$B$8,'Cost Margin'!$J18),K$5),MIN(IF(OR('Cost Margin'!$B$14="Y",'Cost Margin'!$K18=""),'Cost Margin'!$B$9,'Cost Margin'!$K18),K$6)))))</f>
        <v>0</v>
      </c>
      <c r="L10" s="35" t="n">
        <f aca="false">IF(OR(L$5="",'Cost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Margin'!$K18),L$6)&lt;MAX(IF(OR('Cost Margin'!$B$14="Y",'Cost Margin'!$J18=""),'Cost Margin'!$B$8,'Cost Margin'!$J18),L$5),0,IFERROR(NETWORKDAYS(MAX(IF(OR('Cost Margin'!$B$14="Y",'Cost Margin'!$J18=""),'Cost Margin'!$B$8,'Cost Margin'!$J18),L$5),MIN(IF(OR('Cost Margin'!$B$14="Y",'Cost Margin'!$K18=""),'Cost Margin'!$B$9,'Cost Margin'!$K18),L$6),INDEX(Settings!$A$35:$D$74,0,MATCH('Cost Margin'!$C18,Settings!$A$34:$D$34,0))),NETWORKDAYS(MAX(IF(OR('Cost Margin'!$B$14="Y",'Cost Margin'!$J18=""),'Cost Margin'!$B$8,'Cost Margin'!$J18),L$5),MIN(IF(OR('Cost Margin'!$B$14="Y",'Cost Margin'!$K18=""),'Cost Margin'!$B$9,'Cost Margin'!$K18),L$6)))))</f>
        <v>0</v>
      </c>
      <c r="M10" s="35" t="n">
        <f aca="false">IF(OR(M$5="",'Cost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Margin'!$K18),M$6)&lt;MAX(IF(OR('Cost Margin'!$B$14="Y",'Cost Margin'!$J18=""),'Cost Margin'!$B$8,'Cost Margin'!$J18),M$5),0,IFERROR(NETWORKDAYS(MAX(IF(OR('Cost Margin'!$B$14="Y",'Cost Margin'!$J18=""),'Cost Margin'!$B$8,'Cost Margin'!$J18),M$5),MIN(IF(OR('Cost Margin'!$B$14="Y",'Cost Margin'!$K18=""),'Cost Margin'!$B$9,'Cost Margin'!$K18),M$6),INDEX(Settings!$A$35:$D$74,0,MATCH('Cost Margin'!$C18,Settings!$A$34:$D$34,0))),NETWORKDAYS(MAX(IF(OR('Cost Margin'!$B$14="Y",'Cost Margin'!$J18=""),'Cost Margin'!$B$8,'Cost Margin'!$J18),M$5),MIN(IF(OR('Cost Margin'!$B$14="Y",'Cost Margin'!$K18=""),'Cost Margin'!$B$9,'Cost Margin'!$K18),M$6)))))</f>
        <v>0</v>
      </c>
      <c r="N10" s="35" t="n">
        <f aca="false">IF(OR(N$5="",'Cost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Margin'!$K18),N$6)&lt;MAX(IF(OR('Cost Margin'!$B$14="Y",'Cost Margin'!$J18=""),'Cost Margin'!$B$8,'Cost Margin'!$J18),N$5),0,IFERROR(NETWORKDAYS(MAX(IF(OR('Cost Margin'!$B$14="Y",'Cost Margin'!$J18=""),'Cost Margin'!$B$8,'Cost Margin'!$J18),N$5),MIN(IF(OR('Cost Margin'!$B$14="Y",'Cost Margin'!$K18=""),'Cost Margin'!$B$9,'Cost Margin'!$K18),N$6),INDEX(Settings!$A$35:$D$74,0,MATCH('Cost Margin'!$C18,Settings!$A$34:$D$34,0))),NETWORKDAYS(MAX(IF(OR('Cost Margin'!$B$14="Y",'Cost Margin'!$J18=""),'Cost Margin'!$B$8,'Cost Margin'!$J18),N$5),MIN(IF(OR('Cost Margin'!$B$14="Y",'Cost Margin'!$K18=""),'Cost Margin'!$B$9,'Cost Margin'!$K18),N$6)))))</f>
        <v>0</v>
      </c>
      <c r="O10" s="35" t="n">
        <f aca="false">IF(OR(O$5="",'Cost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Margin'!$K18),O$6)&lt;MAX(IF(OR('Cost Margin'!$B$14="Y",'Cost Margin'!$J18=""),'Cost Margin'!$B$8,'Cost Margin'!$J18),O$5),0,IFERROR(NETWORKDAYS(MAX(IF(OR('Cost Margin'!$B$14="Y",'Cost Margin'!$J18=""),'Cost Margin'!$B$8,'Cost Margin'!$J18),O$5),MIN(IF(OR('Cost Margin'!$B$14="Y",'Cost Margin'!$K18=""),'Cost Margin'!$B$9,'Cost Margin'!$K18),O$6),INDEX(Settings!$A$35:$D$74,0,MATCH('Cost Margin'!$C18,Settings!$A$34:$D$34,0))),NETWORKDAYS(MAX(IF(OR('Cost Margin'!$B$14="Y",'Cost Margin'!$J18=""),'Cost Margin'!$B$8,'Cost Margin'!$J18),O$5),MIN(IF(OR('Cost Margin'!$B$14="Y",'Cost Margin'!$K18=""),'Cost Margin'!$B$9,'Cost Margin'!$K18),O$6)))))</f>
        <v>0</v>
      </c>
      <c r="P10" s="35" t="n">
        <f aca="false">IF(OR(P$5="",'Cost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Margin'!$K18),P$6)&lt;MAX(IF(OR('Cost Margin'!$B$14="Y",'Cost Margin'!$J18=""),'Cost Margin'!$B$8,'Cost Margin'!$J18),P$5),0,IFERROR(NETWORKDAYS(MAX(IF(OR('Cost Margin'!$B$14="Y",'Cost Margin'!$J18=""),'Cost Margin'!$B$8,'Cost Margin'!$J18),P$5),MIN(IF(OR('Cost Margin'!$B$14="Y",'Cost Margin'!$K18=""),'Cost Margin'!$B$9,'Cost Margin'!$K18),P$6),INDEX(Settings!$A$35:$D$74,0,MATCH('Cost Margin'!$C18,Settings!$A$34:$D$34,0))),NETWORKDAYS(MAX(IF(OR('Cost Margin'!$B$14="Y",'Cost Margin'!$J18=""),'Cost Margin'!$B$8,'Cost Margin'!$J18),P$5),MIN(IF(OR('Cost Margin'!$B$14="Y",'Cost Margin'!$K18=""),'Cost Margin'!$B$9,'Cost Margin'!$K18),P$6)))))</f>
        <v>0</v>
      </c>
      <c r="Q10" s="35" t="n">
        <f aca="false">IF(OR(Q$5="",'Cost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Margin'!$K18),Q$6)&lt;MAX(IF(OR('Cost Margin'!$B$14="Y",'Cost Margin'!$J18=""),'Cost Margin'!$B$8,'Cost Margin'!$J18),Q$5),0,IFERROR(NETWORKDAYS(MAX(IF(OR('Cost Margin'!$B$14="Y",'Cost Margin'!$J18=""),'Cost Margin'!$B$8,'Cost Margin'!$J18),Q$5),MIN(IF(OR('Cost Margin'!$B$14="Y",'Cost Margin'!$K18=""),'Cost Margin'!$B$9,'Cost Margin'!$K18),Q$6),INDEX(Settings!$A$35:$D$74,0,MATCH('Cost Margin'!$C18,Settings!$A$34:$D$34,0))),NETWORKDAYS(MAX(IF(OR('Cost Margin'!$B$14="Y",'Cost Margin'!$J18=""),'Cost Margin'!$B$8,'Cost Margin'!$J18),Q$5),MIN(IF(OR('Cost Margin'!$B$14="Y",'Cost Margin'!$K18=""),'Cost Margin'!$B$9,'Cost Margin'!$K18),Q$6)))))</f>
        <v>0</v>
      </c>
      <c r="R10" s="35" t="n">
        <f aca="false">IF(OR(R$5="",'Cost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Margin'!$K18),R$6)&lt;MAX(IF(OR('Cost Margin'!$B$14="Y",'Cost Margin'!$J18=""),'Cost Margin'!$B$8,'Cost Margin'!$J18),R$5),0,IFERROR(NETWORKDAYS(MAX(IF(OR('Cost Margin'!$B$14="Y",'Cost Margin'!$J18=""),'Cost Margin'!$B$8,'Cost Margin'!$J18),R$5),MIN(IF(OR('Cost Margin'!$B$14="Y",'Cost Margin'!$K18=""),'Cost Margin'!$B$9,'Cost Margin'!$K18),R$6),INDEX(Settings!$A$35:$D$74,0,MATCH('Cost Margin'!$C18,Settings!$A$34:$D$34,0))),NETWORKDAYS(MAX(IF(OR('Cost Margin'!$B$14="Y",'Cost Margin'!$J18=""),'Cost Margin'!$B$8,'Cost Margin'!$J18),R$5),MIN(IF(OR('Cost Margin'!$B$14="Y",'Cost Margin'!$K18=""),'Cost Margin'!$B$9,'Cost Margin'!$K18),R$6)))))</f>
        <v>0</v>
      </c>
      <c r="S10" s="35" t="n">
        <f aca="false">IF(OR(S$5="",'Cost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Margin'!$K18),S$6)&lt;MAX(IF(OR('Cost Margin'!$B$14="Y",'Cost Margin'!$J18=""),'Cost Margin'!$B$8,'Cost Margin'!$J18),S$5),0,IFERROR(NETWORKDAYS(MAX(IF(OR('Cost Margin'!$B$14="Y",'Cost Margin'!$J18=""),'Cost Margin'!$B$8,'Cost Margin'!$J18),S$5),MIN(IF(OR('Cost Margin'!$B$14="Y",'Cost Margin'!$K18=""),'Cost Margin'!$B$9,'Cost Margin'!$K18),S$6),INDEX(Settings!$A$35:$D$74,0,MATCH('Cost Margin'!$C18,Settings!$A$34:$D$34,0))),NETWORKDAYS(MAX(IF(OR('Cost Margin'!$B$14="Y",'Cost Margin'!$J18=""),'Cost Margin'!$B$8,'Cost Margin'!$J18),S$5),MIN(IF(OR('Cost Margin'!$B$14="Y",'Cost Margin'!$K18=""),'Cost Margin'!$B$9,'Cost Margin'!$K18),S$6)))))</f>
        <v>0</v>
      </c>
      <c r="T10" s="35" t="n">
        <f aca="false">IF(OR(T$5="",'Cost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Margin'!$K18),T$6)&lt;MAX(IF(OR('Cost Margin'!$B$14="Y",'Cost Margin'!$J18=""),'Cost Margin'!$B$8,'Cost Margin'!$J18),T$5),0,IFERROR(NETWORKDAYS(MAX(IF(OR('Cost Margin'!$B$14="Y",'Cost Margin'!$J18=""),'Cost Margin'!$B$8,'Cost Margin'!$J18),T$5),MIN(IF(OR('Cost Margin'!$B$14="Y",'Cost Margin'!$K18=""),'Cost Margin'!$B$9,'Cost Margin'!$K18),T$6),INDEX(Settings!$A$35:$D$74,0,MATCH('Cost Margin'!$C18,Settings!$A$34:$D$34,0))),NETWORKDAYS(MAX(IF(OR('Cost Margin'!$B$14="Y",'Cost Margin'!$J18=""),'Cost Margin'!$B$8,'Cost Margin'!$J18),T$5),MIN(IF(OR('Cost Margin'!$B$14="Y",'Cost Margin'!$K18=""),'Cost Margin'!$B$9,'Cost Margin'!$K18),T$6)))))</f>
        <v>0</v>
      </c>
      <c r="U10" s="35" t="n">
        <f aca="false">IF(OR(U$5="",'Cost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Margin'!$K18),U$6)&lt;MAX(IF(OR('Cost Margin'!$B$14="Y",'Cost Margin'!$J18=""),'Cost Margin'!$B$8,'Cost Margin'!$J18),U$5),0,IFERROR(NETWORKDAYS(MAX(IF(OR('Cost Margin'!$B$14="Y",'Cost Margin'!$J18=""),'Cost Margin'!$B$8,'Cost Margin'!$J18),U$5),MIN(IF(OR('Cost Margin'!$B$14="Y",'Cost Margin'!$K18=""),'Cost Margin'!$B$9,'Cost Margin'!$K18),U$6),INDEX(Settings!$A$35:$D$74,0,MATCH('Cost Margin'!$C18,Settings!$A$34:$D$34,0))),NETWORKDAYS(MAX(IF(OR('Cost Margin'!$B$14="Y",'Cost Margin'!$J18=""),'Cost Margin'!$B$8,'Cost Margin'!$J18),U$5),MIN(IF(OR('Cost Margin'!$B$14="Y",'Cost Margin'!$K18=""),'Cost Margin'!$B$9,'Cost Margin'!$K18),U$6)))))</f>
        <v>0</v>
      </c>
      <c r="V10" s="35" t="n">
        <f aca="false">IF(OR(V$5="",'Cost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Margin'!$K18),V$6)&lt;MAX(IF(OR('Cost Margin'!$B$14="Y",'Cost Margin'!$J18=""),'Cost Margin'!$B$8,'Cost Margin'!$J18),V$5),0,IFERROR(NETWORKDAYS(MAX(IF(OR('Cost Margin'!$B$14="Y",'Cost Margin'!$J18=""),'Cost Margin'!$B$8,'Cost Margin'!$J18),V$5),MIN(IF(OR('Cost Margin'!$B$14="Y",'Cost Margin'!$K18=""),'Cost Margin'!$B$9,'Cost Margin'!$K18),V$6),INDEX(Settings!$A$35:$D$74,0,MATCH('Cost Margin'!$C18,Settings!$A$34:$D$34,0))),NETWORKDAYS(MAX(IF(OR('Cost Margin'!$B$14="Y",'Cost Margin'!$J18=""),'Cost Margin'!$B$8,'Cost Margin'!$J18),V$5),MIN(IF(OR('Cost Margin'!$B$14="Y",'Cost Margin'!$K18=""),'Cost Margin'!$B$9,'Cost Margin'!$K18),V$6)))))</f>
        <v>0</v>
      </c>
      <c r="W10" s="35" t="n">
        <f aca="false">IF(OR(W$5="",'Cost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Margin'!$K18),W$6)&lt;MAX(IF(OR('Cost Margin'!$B$14="Y",'Cost Margin'!$J18=""),'Cost Margin'!$B$8,'Cost Margin'!$J18),W$5),0,IFERROR(NETWORKDAYS(MAX(IF(OR('Cost Margin'!$B$14="Y",'Cost Margin'!$J18=""),'Cost Margin'!$B$8,'Cost Margin'!$J18),W$5),MIN(IF(OR('Cost Margin'!$B$14="Y",'Cost Margin'!$K18=""),'Cost Margin'!$B$9,'Cost Margin'!$K18),W$6),INDEX(Settings!$A$35:$D$74,0,MATCH('Cost Margin'!$C18,Settings!$A$34:$D$34,0))),NETWORKDAYS(MAX(IF(OR('Cost Margin'!$B$14="Y",'Cost Margin'!$J18=""),'Cost Margin'!$B$8,'Cost Margin'!$J18),W$5),MIN(IF(OR('Cost Margin'!$B$14="Y",'Cost Margin'!$K18=""),'Cost Margin'!$B$9,'Cost Margin'!$K18),W$6)))))</f>
        <v>0</v>
      </c>
      <c r="X10" s="35" t="n">
        <f aca="false">IF(OR(X$5="",'Cost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Margin'!$K18),X$6)&lt;MAX(IF(OR('Cost Margin'!$B$14="Y",'Cost Margin'!$J18=""),'Cost Margin'!$B$8,'Cost Margin'!$J18),X$5),0,IFERROR(NETWORKDAYS(MAX(IF(OR('Cost Margin'!$B$14="Y",'Cost Margin'!$J18=""),'Cost Margin'!$B$8,'Cost Margin'!$J18),X$5),MIN(IF(OR('Cost Margin'!$B$14="Y",'Cost Margin'!$K18=""),'Cost Margin'!$B$9,'Cost Margin'!$K18),X$6),INDEX(Settings!$A$35:$D$74,0,MATCH('Cost Margin'!$C18,Settings!$A$34:$D$34,0))),NETWORKDAYS(MAX(IF(OR('Cost Margin'!$B$14="Y",'Cost Margin'!$J18=""),'Cost Margin'!$B$8,'Cost Margin'!$J18),X$5),MIN(IF(OR('Cost Margin'!$B$14="Y",'Cost Margin'!$K18=""),'Cost Margin'!$B$9,'Cost Margin'!$K18),X$6)))))</f>
        <v>0</v>
      </c>
      <c r="Y10" s="35" t="n">
        <f aca="false">IF(OR(Y$5="",'Cost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Margin'!$K18),Y$6)&lt;MAX(IF(OR('Cost Margin'!$B$14="Y",'Cost Margin'!$J18=""),'Cost Margin'!$B$8,'Cost Margin'!$J18),Y$5),0,IFERROR(NETWORKDAYS(MAX(IF(OR('Cost Margin'!$B$14="Y",'Cost Margin'!$J18=""),'Cost Margin'!$B$8,'Cost Margin'!$J18),Y$5),MIN(IF(OR('Cost Margin'!$B$14="Y",'Cost Margin'!$K18=""),'Cost Margin'!$B$9,'Cost Margin'!$K18),Y$6),INDEX(Settings!$A$35:$D$74,0,MATCH('Cost Margin'!$C18,Settings!$A$34:$D$34,0))),NETWORKDAYS(MAX(IF(OR('Cost Margin'!$B$14="Y",'Cost Margin'!$J18=""),'Cost Margin'!$B$8,'Cost Margin'!$J18),Y$5),MIN(IF(OR('Cost Margin'!$B$14="Y",'Cost Margin'!$K18=""),'Cost Margin'!$B$9,'Cost Margin'!$K18),Y$6)))))</f>
        <v>0</v>
      </c>
      <c r="Z10" s="35" t="n">
        <f aca="false">IF(OR(Z$5="",'Cost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Margin'!$K18),Z$6)&lt;MAX(IF(OR('Cost Margin'!$B$14="Y",'Cost Margin'!$J18=""),'Cost Margin'!$B$8,'Cost Margin'!$J18),Z$5),0,IFERROR(NETWORKDAYS(MAX(IF(OR('Cost Margin'!$B$14="Y",'Cost Margin'!$J18=""),'Cost Margin'!$B$8,'Cost Margin'!$J18),Z$5),MIN(IF(OR('Cost Margin'!$B$14="Y",'Cost Margin'!$K18=""),'Cost Margin'!$B$9,'Cost Margin'!$K18),Z$6),INDEX(Settings!$A$35:$D$74,0,MATCH('Cost Margin'!$C18,Settings!$A$34:$D$34,0))),NETWORKDAYS(MAX(IF(OR('Cost Margin'!$B$14="Y",'Cost Margin'!$J18=""),'Cost Margin'!$B$8,'Cost Margin'!$J18),Z$5),MIN(IF(OR('Cost Margin'!$B$14="Y",'Cost Margin'!$K18=""),'Cost Margin'!$B$9,'Cost Margin'!$K18),Z$6)))))</f>
        <v>0</v>
      </c>
      <c r="AB10" s="34" t="str">
        <f aca="false">IF('Cost Margin'!A18="","",IF('Cost Margin'!E18="","(unassigned)",'Cost Margin'!E18))</f>
        <v/>
      </c>
    </row>
    <row r="11" customFormat="false" ht="15" hidden="false" customHeight="false" outlineLevel="0" collapsed="false">
      <c r="A11" s="0" t="n">
        <v>3</v>
      </c>
      <c r="B11" s="34" t="str">
        <f aca="false">IF('Cost Margin'!A19="","",'Cost Margin'!A19&amp;IF('Cost Margin'!E19="",""," · "&amp;'Cost Margin'!E19))</f>
        <v/>
      </c>
      <c r="C11" s="35" t="n">
        <f aca="false">IF(OR(C$5="",'Cost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Margin'!$K19),C$6)&lt;MAX(IF(OR('Cost Margin'!$B$14="Y",'Cost Margin'!$J19=""),'Cost Margin'!$B$8,'Cost Margin'!$J19),C$5),0,IFERROR(NETWORKDAYS(MAX(IF(OR('Cost Margin'!$B$14="Y",'Cost Margin'!$J19=""),'Cost Margin'!$B$8,'Cost Margin'!$J19),C$5),MIN(IF(OR('Cost Margin'!$B$14="Y",'Cost Margin'!$K19=""),'Cost Margin'!$B$9,'Cost Margin'!$K19),C$6),INDEX(Settings!$A$35:$D$74,0,MATCH('Cost Margin'!$C19,Settings!$A$34:$D$34,0))),NETWORKDAYS(MAX(IF(OR('Cost Margin'!$B$14="Y",'Cost Margin'!$J19=""),'Cost Margin'!$B$8,'Cost Margin'!$J19),C$5),MIN(IF(OR('Cost Margin'!$B$14="Y",'Cost Margin'!$K19=""),'Cost Margin'!$B$9,'Cost Margin'!$K19),C$6)))))</f>
        <v>0</v>
      </c>
      <c r="D11" s="35" t="n">
        <f aca="false">IF(OR(D$5="",'Cost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Margin'!$K19),D$6)&lt;MAX(IF(OR('Cost Margin'!$B$14="Y",'Cost Margin'!$J19=""),'Cost Margin'!$B$8,'Cost Margin'!$J19),D$5),0,IFERROR(NETWORKDAYS(MAX(IF(OR('Cost Margin'!$B$14="Y",'Cost Margin'!$J19=""),'Cost Margin'!$B$8,'Cost Margin'!$J19),D$5),MIN(IF(OR('Cost Margin'!$B$14="Y",'Cost Margin'!$K19=""),'Cost Margin'!$B$9,'Cost Margin'!$K19),D$6),INDEX(Settings!$A$35:$D$74,0,MATCH('Cost Margin'!$C19,Settings!$A$34:$D$34,0))),NETWORKDAYS(MAX(IF(OR('Cost Margin'!$B$14="Y",'Cost Margin'!$J19=""),'Cost Margin'!$B$8,'Cost Margin'!$J19),D$5),MIN(IF(OR('Cost Margin'!$B$14="Y",'Cost Margin'!$K19=""),'Cost Margin'!$B$9,'Cost Margin'!$K19),D$6)))))</f>
        <v>0</v>
      </c>
      <c r="E11" s="35" t="n">
        <f aca="false">IF(OR(E$5="",'Cost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Margin'!$K19),E$6)&lt;MAX(IF(OR('Cost Margin'!$B$14="Y",'Cost Margin'!$J19=""),'Cost Margin'!$B$8,'Cost Margin'!$J19),E$5),0,IFERROR(NETWORKDAYS(MAX(IF(OR('Cost Margin'!$B$14="Y",'Cost Margin'!$J19=""),'Cost Margin'!$B$8,'Cost Margin'!$J19),E$5),MIN(IF(OR('Cost Margin'!$B$14="Y",'Cost Margin'!$K19=""),'Cost Margin'!$B$9,'Cost Margin'!$K19),E$6),INDEX(Settings!$A$35:$D$74,0,MATCH('Cost Margin'!$C19,Settings!$A$34:$D$34,0))),NETWORKDAYS(MAX(IF(OR('Cost Margin'!$B$14="Y",'Cost Margin'!$J19=""),'Cost Margin'!$B$8,'Cost Margin'!$J19),E$5),MIN(IF(OR('Cost Margin'!$B$14="Y",'Cost Margin'!$K19=""),'Cost Margin'!$B$9,'Cost Margin'!$K19),E$6)))))</f>
        <v>0</v>
      </c>
      <c r="F11" s="35" t="n">
        <f aca="false">IF(OR(F$5="",'Cost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Margin'!$K19),F$6)&lt;MAX(IF(OR('Cost Margin'!$B$14="Y",'Cost Margin'!$J19=""),'Cost Margin'!$B$8,'Cost Margin'!$J19),F$5),0,IFERROR(NETWORKDAYS(MAX(IF(OR('Cost Margin'!$B$14="Y",'Cost Margin'!$J19=""),'Cost Margin'!$B$8,'Cost Margin'!$J19),F$5),MIN(IF(OR('Cost Margin'!$B$14="Y",'Cost Margin'!$K19=""),'Cost Margin'!$B$9,'Cost Margin'!$K19),F$6),INDEX(Settings!$A$35:$D$74,0,MATCH('Cost Margin'!$C19,Settings!$A$34:$D$34,0))),NETWORKDAYS(MAX(IF(OR('Cost Margin'!$B$14="Y",'Cost Margin'!$J19=""),'Cost Margin'!$B$8,'Cost Margin'!$J19),F$5),MIN(IF(OR('Cost Margin'!$B$14="Y",'Cost Margin'!$K19=""),'Cost Margin'!$B$9,'Cost Margin'!$K19),F$6)))))</f>
        <v>0</v>
      </c>
      <c r="G11" s="35" t="n">
        <f aca="false">IF(OR(G$5="",'Cost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Margin'!$K19),G$6)&lt;MAX(IF(OR('Cost Margin'!$B$14="Y",'Cost Margin'!$J19=""),'Cost Margin'!$B$8,'Cost Margin'!$J19),G$5),0,IFERROR(NETWORKDAYS(MAX(IF(OR('Cost Margin'!$B$14="Y",'Cost Margin'!$J19=""),'Cost Margin'!$B$8,'Cost Margin'!$J19),G$5),MIN(IF(OR('Cost Margin'!$B$14="Y",'Cost Margin'!$K19=""),'Cost Margin'!$B$9,'Cost Margin'!$K19),G$6),INDEX(Settings!$A$35:$D$74,0,MATCH('Cost Margin'!$C19,Settings!$A$34:$D$34,0))),NETWORKDAYS(MAX(IF(OR('Cost Margin'!$B$14="Y",'Cost Margin'!$J19=""),'Cost Margin'!$B$8,'Cost Margin'!$J19),G$5),MIN(IF(OR('Cost Margin'!$B$14="Y",'Cost Margin'!$K19=""),'Cost Margin'!$B$9,'Cost Margin'!$K19),G$6)))))</f>
        <v>0</v>
      </c>
      <c r="H11" s="35" t="n">
        <f aca="false">IF(OR(H$5="",'Cost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Margin'!$K19),H$6)&lt;MAX(IF(OR('Cost Margin'!$B$14="Y",'Cost Margin'!$J19=""),'Cost Margin'!$B$8,'Cost Margin'!$J19),H$5),0,IFERROR(NETWORKDAYS(MAX(IF(OR('Cost Margin'!$B$14="Y",'Cost Margin'!$J19=""),'Cost Margin'!$B$8,'Cost Margin'!$J19),H$5),MIN(IF(OR('Cost Margin'!$B$14="Y",'Cost Margin'!$K19=""),'Cost Margin'!$B$9,'Cost Margin'!$K19),H$6),INDEX(Settings!$A$35:$D$74,0,MATCH('Cost Margin'!$C19,Settings!$A$34:$D$34,0))),NETWORKDAYS(MAX(IF(OR('Cost Margin'!$B$14="Y",'Cost Margin'!$J19=""),'Cost Margin'!$B$8,'Cost Margin'!$J19),H$5),MIN(IF(OR('Cost Margin'!$B$14="Y",'Cost Margin'!$K19=""),'Cost Margin'!$B$9,'Cost Margin'!$K19),H$6)))))</f>
        <v>0</v>
      </c>
      <c r="I11" s="35" t="n">
        <f aca="false">IF(OR(I$5="",'Cost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Margin'!$K19),I$6)&lt;MAX(IF(OR('Cost Margin'!$B$14="Y",'Cost Margin'!$J19=""),'Cost Margin'!$B$8,'Cost Margin'!$J19),I$5),0,IFERROR(NETWORKDAYS(MAX(IF(OR('Cost Margin'!$B$14="Y",'Cost Margin'!$J19=""),'Cost Margin'!$B$8,'Cost Margin'!$J19),I$5),MIN(IF(OR('Cost Margin'!$B$14="Y",'Cost Margin'!$K19=""),'Cost Margin'!$B$9,'Cost Margin'!$K19),I$6),INDEX(Settings!$A$35:$D$74,0,MATCH('Cost Margin'!$C19,Settings!$A$34:$D$34,0))),NETWORKDAYS(MAX(IF(OR('Cost Margin'!$B$14="Y",'Cost Margin'!$J19=""),'Cost Margin'!$B$8,'Cost Margin'!$J19),I$5),MIN(IF(OR('Cost Margin'!$B$14="Y",'Cost Margin'!$K19=""),'Cost Margin'!$B$9,'Cost Margin'!$K19),I$6)))))</f>
        <v>0</v>
      </c>
      <c r="J11" s="35" t="n">
        <f aca="false">IF(OR(J$5="",'Cost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Margin'!$K19),J$6)&lt;MAX(IF(OR('Cost Margin'!$B$14="Y",'Cost Margin'!$J19=""),'Cost Margin'!$B$8,'Cost Margin'!$J19),J$5),0,IFERROR(NETWORKDAYS(MAX(IF(OR('Cost Margin'!$B$14="Y",'Cost Margin'!$J19=""),'Cost Margin'!$B$8,'Cost Margin'!$J19),J$5),MIN(IF(OR('Cost Margin'!$B$14="Y",'Cost Margin'!$K19=""),'Cost Margin'!$B$9,'Cost Margin'!$K19),J$6),INDEX(Settings!$A$35:$D$74,0,MATCH('Cost Margin'!$C19,Settings!$A$34:$D$34,0))),NETWORKDAYS(MAX(IF(OR('Cost Margin'!$B$14="Y",'Cost Margin'!$J19=""),'Cost Margin'!$B$8,'Cost Margin'!$J19),J$5),MIN(IF(OR('Cost Margin'!$B$14="Y",'Cost Margin'!$K19=""),'Cost Margin'!$B$9,'Cost Margin'!$K19),J$6)))))</f>
        <v>0</v>
      </c>
      <c r="K11" s="35" t="n">
        <f aca="false">IF(OR(K$5="",'Cost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Margin'!$K19),K$6)&lt;MAX(IF(OR('Cost Margin'!$B$14="Y",'Cost Margin'!$J19=""),'Cost Margin'!$B$8,'Cost Margin'!$J19),K$5),0,IFERROR(NETWORKDAYS(MAX(IF(OR('Cost Margin'!$B$14="Y",'Cost Margin'!$J19=""),'Cost Margin'!$B$8,'Cost Margin'!$J19),K$5),MIN(IF(OR('Cost Margin'!$B$14="Y",'Cost Margin'!$K19=""),'Cost Margin'!$B$9,'Cost Margin'!$K19),K$6),INDEX(Settings!$A$35:$D$74,0,MATCH('Cost Margin'!$C19,Settings!$A$34:$D$34,0))),NETWORKDAYS(MAX(IF(OR('Cost Margin'!$B$14="Y",'Cost Margin'!$J19=""),'Cost Margin'!$B$8,'Cost Margin'!$J19),K$5),MIN(IF(OR('Cost Margin'!$B$14="Y",'Cost Margin'!$K19=""),'Cost Margin'!$B$9,'Cost Margin'!$K19),K$6)))))</f>
        <v>0</v>
      </c>
      <c r="L11" s="35" t="n">
        <f aca="false">IF(OR(L$5="",'Cost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Margin'!$K19),L$6)&lt;MAX(IF(OR('Cost Margin'!$B$14="Y",'Cost Margin'!$J19=""),'Cost Margin'!$B$8,'Cost Margin'!$J19),L$5),0,IFERROR(NETWORKDAYS(MAX(IF(OR('Cost Margin'!$B$14="Y",'Cost Margin'!$J19=""),'Cost Margin'!$B$8,'Cost Margin'!$J19),L$5),MIN(IF(OR('Cost Margin'!$B$14="Y",'Cost Margin'!$K19=""),'Cost Margin'!$B$9,'Cost Margin'!$K19),L$6),INDEX(Settings!$A$35:$D$74,0,MATCH('Cost Margin'!$C19,Settings!$A$34:$D$34,0))),NETWORKDAYS(MAX(IF(OR('Cost Margin'!$B$14="Y",'Cost Margin'!$J19=""),'Cost Margin'!$B$8,'Cost Margin'!$J19),L$5),MIN(IF(OR('Cost Margin'!$B$14="Y",'Cost Margin'!$K19=""),'Cost Margin'!$B$9,'Cost Margin'!$K19),L$6)))))</f>
        <v>0</v>
      </c>
      <c r="M11" s="35" t="n">
        <f aca="false">IF(OR(M$5="",'Cost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Margin'!$K19),M$6)&lt;MAX(IF(OR('Cost Margin'!$B$14="Y",'Cost Margin'!$J19=""),'Cost Margin'!$B$8,'Cost Margin'!$J19),M$5),0,IFERROR(NETWORKDAYS(MAX(IF(OR('Cost Margin'!$B$14="Y",'Cost Margin'!$J19=""),'Cost Margin'!$B$8,'Cost Margin'!$J19),M$5),MIN(IF(OR('Cost Margin'!$B$14="Y",'Cost Margin'!$K19=""),'Cost Margin'!$B$9,'Cost Margin'!$K19),M$6),INDEX(Settings!$A$35:$D$74,0,MATCH('Cost Margin'!$C19,Settings!$A$34:$D$34,0))),NETWORKDAYS(MAX(IF(OR('Cost Margin'!$B$14="Y",'Cost Margin'!$J19=""),'Cost Margin'!$B$8,'Cost Margin'!$J19),M$5),MIN(IF(OR('Cost Margin'!$B$14="Y",'Cost Margin'!$K19=""),'Cost Margin'!$B$9,'Cost Margin'!$K19),M$6)))))</f>
        <v>0</v>
      </c>
      <c r="N11" s="35" t="n">
        <f aca="false">IF(OR(N$5="",'Cost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Margin'!$K19),N$6)&lt;MAX(IF(OR('Cost Margin'!$B$14="Y",'Cost Margin'!$J19=""),'Cost Margin'!$B$8,'Cost Margin'!$J19),N$5),0,IFERROR(NETWORKDAYS(MAX(IF(OR('Cost Margin'!$B$14="Y",'Cost Margin'!$J19=""),'Cost Margin'!$B$8,'Cost Margin'!$J19),N$5),MIN(IF(OR('Cost Margin'!$B$14="Y",'Cost Margin'!$K19=""),'Cost Margin'!$B$9,'Cost Margin'!$K19),N$6),INDEX(Settings!$A$35:$D$74,0,MATCH('Cost Margin'!$C19,Settings!$A$34:$D$34,0))),NETWORKDAYS(MAX(IF(OR('Cost Margin'!$B$14="Y",'Cost Margin'!$J19=""),'Cost Margin'!$B$8,'Cost Margin'!$J19),N$5),MIN(IF(OR('Cost Margin'!$B$14="Y",'Cost Margin'!$K19=""),'Cost Margin'!$B$9,'Cost Margin'!$K19),N$6)))))</f>
        <v>0</v>
      </c>
      <c r="O11" s="35" t="n">
        <f aca="false">IF(OR(O$5="",'Cost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Margin'!$K19),O$6)&lt;MAX(IF(OR('Cost Margin'!$B$14="Y",'Cost Margin'!$J19=""),'Cost Margin'!$B$8,'Cost Margin'!$J19),O$5),0,IFERROR(NETWORKDAYS(MAX(IF(OR('Cost Margin'!$B$14="Y",'Cost Margin'!$J19=""),'Cost Margin'!$B$8,'Cost Margin'!$J19),O$5),MIN(IF(OR('Cost Margin'!$B$14="Y",'Cost Margin'!$K19=""),'Cost Margin'!$B$9,'Cost Margin'!$K19),O$6),INDEX(Settings!$A$35:$D$74,0,MATCH('Cost Margin'!$C19,Settings!$A$34:$D$34,0))),NETWORKDAYS(MAX(IF(OR('Cost Margin'!$B$14="Y",'Cost Margin'!$J19=""),'Cost Margin'!$B$8,'Cost Margin'!$J19),O$5),MIN(IF(OR('Cost Margin'!$B$14="Y",'Cost Margin'!$K19=""),'Cost Margin'!$B$9,'Cost Margin'!$K19),O$6)))))</f>
        <v>0</v>
      </c>
      <c r="P11" s="35" t="n">
        <f aca="false">IF(OR(P$5="",'Cost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Margin'!$K19),P$6)&lt;MAX(IF(OR('Cost Margin'!$B$14="Y",'Cost Margin'!$J19=""),'Cost Margin'!$B$8,'Cost Margin'!$J19),P$5),0,IFERROR(NETWORKDAYS(MAX(IF(OR('Cost Margin'!$B$14="Y",'Cost Margin'!$J19=""),'Cost Margin'!$B$8,'Cost Margin'!$J19),P$5),MIN(IF(OR('Cost Margin'!$B$14="Y",'Cost Margin'!$K19=""),'Cost Margin'!$B$9,'Cost Margin'!$K19),P$6),INDEX(Settings!$A$35:$D$74,0,MATCH('Cost Margin'!$C19,Settings!$A$34:$D$34,0))),NETWORKDAYS(MAX(IF(OR('Cost Margin'!$B$14="Y",'Cost Margin'!$J19=""),'Cost Margin'!$B$8,'Cost Margin'!$J19),P$5),MIN(IF(OR('Cost Margin'!$B$14="Y",'Cost Margin'!$K19=""),'Cost Margin'!$B$9,'Cost Margin'!$K19),P$6)))))</f>
        <v>0</v>
      </c>
      <c r="Q11" s="35" t="n">
        <f aca="false">IF(OR(Q$5="",'Cost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Margin'!$K19),Q$6)&lt;MAX(IF(OR('Cost Margin'!$B$14="Y",'Cost Margin'!$J19=""),'Cost Margin'!$B$8,'Cost Margin'!$J19),Q$5),0,IFERROR(NETWORKDAYS(MAX(IF(OR('Cost Margin'!$B$14="Y",'Cost Margin'!$J19=""),'Cost Margin'!$B$8,'Cost Margin'!$J19),Q$5),MIN(IF(OR('Cost Margin'!$B$14="Y",'Cost Margin'!$K19=""),'Cost Margin'!$B$9,'Cost Margin'!$K19),Q$6),INDEX(Settings!$A$35:$D$74,0,MATCH('Cost Margin'!$C19,Settings!$A$34:$D$34,0))),NETWORKDAYS(MAX(IF(OR('Cost Margin'!$B$14="Y",'Cost Margin'!$J19=""),'Cost Margin'!$B$8,'Cost Margin'!$J19),Q$5),MIN(IF(OR('Cost Margin'!$B$14="Y",'Cost Margin'!$K19=""),'Cost Margin'!$B$9,'Cost Margin'!$K19),Q$6)))))</f>
        <v>0</v>
      </c>
      <c r="R11" s="35" t="n">
        <f aca="false">IF(OR(R$5="",'Cost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Margin'!$K19),R$6)&lt;MAX(IF(OR('Cost Margin'!$B$14="Y",'Cost Margin'!$J19=""),'Cost Margin'!$B$8,'Cost Margin'!$J19),R$5),0,IFERROR(NETWORKDAYS(MAX(IF(OR('Cost Margin'!$B$14="Y",'Cost Margin'!$J19=""),'Cost Margin'!$B$8,'Cost Margin'!$J19),R$5),MIN(IF(OR('Cost Margin'!$B$14="Y",'Cost Margin'!$K19=""),'Cost Margin'!$B$9,'Cost Margin'!$K19),R$6),INDEX(Settings!$A$35:$D$74,0,MATCH('Cost Margin'!$C19,Settings!$A$34:$D$34,0))),NETWORKDAYS(MAX(IF(OR('Cost Margin'!$B$14="Y",'Cost Margin'!$J19=""),'Cost Margin'!$B$8,'Cost Margin'!$J19),R$5),MIN(IF(OR('Cost Margin'!$B$14="Y",'Cost Margin'!$K19=""),'Cost Margin'!$B$9,'Cost Margin'!$K19),R$6)))))</f>
        <v>0</v>
      </c>
      <c r="S11" s="35" t="n">
        <f aca="false">IF(OR(S$5="",'Cost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Margin'!$K19),S$6)&lt;MAX(IF(OR('Cost Margin'!$B$14="Y",'Cost Margin'!$J19=""),'Cost Margin'!$B$8,'Cost Margin'!$J19),S$5),0,IFERROR(NETWORKDAYS(MAX(IF(OR('Cost Margin'!$B$14="Y",'Cost Margin'!$J19=""),'Cost Margin'!$B$8,'Cost Margin'!$J19),S$5),MIN(IF(OR('Cost Margin'!$B$14="Y",'Cost Margin'!$K19=""),'Cost Margin'!$B$9,'Cost Margin'!$K19),S$6),INDEX(Settings!$A$35:$D$74,0,MATCH('Cost Margin'!$C19,Settings!$A$34:$D$34,0))),NETWORKDAYS(MAX(IF(OR('Cost Margin'!$B$14="Y",'Cost Margin'!$J19=""),'Cost Margin'!$B$8,'Cost Margin'!$J19),S$5),MIN(IF(OR('Cost Margin'!$B$14="Y",'Cost Margin'!$K19=""),'Cost Margin'!$B$9,'Cost Margin'!$K19),S$6)))))</f>
        <v>0</v>
      </c>
      <c r="T11" s="35" t="n">
        <f aca="false">IF(OR(T$5="",'Cost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Margin'!$K19),T$6)&lt;MAX(IF(OR('Cost Margin'!$B$14="Y",'Cost Margin'!$J19=""),'Cost Margin'!$B$8,'Cost Margin'!$J19),T$5),0,IFERROR(NETWORKDAYS(MAX(IF(OR('Cost Margin'!$B$14="Y",'Cost Margin'!$J19=""),'Cost Margin'!$B$8,'Cost Margin'!$J19),T$5),MIN(IF(OR('Cost Margin'!$B$14="Y",'Cost Margin'!$K19=""),'Cost Margin'!$B$9,'Cost Margin'!$K19),T$6),INDEX(Settings!$A$35:$D$74,0,MATCH('Cost Margin'!$C19,Settings!$A$34:$D$34,0))),NETWORKDAYS(MAX(IF(OR('Cost Margin'!$B$14="Y",'Cost Margin'!$J19=""),'Cost Margin'!$B$8,'Cost Margin'!$J19),T$5),MIN(IF(OR('Cost Margin'!$B$14="Y",'Cost Margin'!$K19=""),'Cost Margin'!$B$9,'Cost Margin'!$K19),T$6)))))</f>
        <v>0</v>
      </c>
      <c r="U11" s="35" t="n">
        <f aca="false">IF(OR(U$5="",'Cost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Margin'!$K19),U$6)&lt;MAX(IF(OR('Cost Margin'!$B$14="Y",'Cost Margin'!$J19=""),'Cost Margin'!$B$8,'Cost Margin'!$J19),U$5),0,IFERROR(NETWORKDAYS(MAX(IF(OR('Cost Margin'!$B$14="Y",'Cost Margin'!$J19=""),'Cost Margin'!$B$8,'Cost Margin'!$J19),U$5),MIN(IF(OR('Cost Margin'!$B$14="Y",'Cost Margin'!$K19=""),'Cost Margin'!$B$9,'Cost Margin'!$K19),U$6),INDEX(Settings!$A$35:$D$74,0,MATCH('Cost Margin'!$C19,Settings!$A$34:$D$34,0))),NETWORKDAYS(MAX(IF(OR('Cost Margin'!$B$14="Y",'Cost Margin'!$J19=""),'Cost Margin'!$B$8,'Cost Margin'!$J19),U$5),MIN(IF(OR('Cost Margin'!$B$14="Y",'Cost Margin'!$K19=""),'Cost Margin'!$B$9,'Cost Margin'!$K19),U$6)))))</f>
        <v>0</v>
      </c>
      <c r="V11" s="35" t="n">
        <f aca="false">IF(OR(V$5="",'Cost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Margin'!$K19),V$6)&lt;MAX(IF(OR('Cost Margin'!$B$14="Y",'Cost Margin'!$J19=""),'Cost Margin'!$B$8,'Cost Margin'!$J19),V$5),0,IFERROR(NETWORKDAYS(MAX(IF(OR('Cost Margin'!$B$14="Y",'Cost Margin'!$J19=""),'Cost Margin'!$B$8,'Cost Margin'!$J19),V$5),MIN(IF(OR('Cost Margin'!$B$14="Y",'Cost Margin'!$K19=""),'Cost Margin'!$B$9,'Cost Margin'!$K19),V$6),INDEX(Settings!$A$35:$D$74,0,MATCH('Cost Margin'!$C19,Settings!$A$34:$D$34,0))),NETWORKDAYS(MAX(IF(OR('Cost Margin'!$B$14="Y",'Cost Margin'!$J19=""),'Cost Margin'!$B$8,'Cost Margin'!$J19),V$5),MIN(IF(OR('Cost Margin'!$B$14="Y",'Cost Margin'!$K19=""),'Cost Margin'!$B$9,'Cost Margin'!$K19),V$6)))))</f>
        <v>0</v>
      </c>
      <c r="W11" s="35" t="n">
        <f aca="false">IF(OR(W$5="",'Cost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Margin'!$K19),W$6)&lt;MAX(IF(OR('Cost Margin'!$B$14="Y",'Cost Margin'!$J19=""),'Cost Margin'!$B$8,'Cost Margin'!$J19),W$5),0,IFERROR(NETWORKDAYS(MAX(IF(OR('Cost Margin'!$B$14="Y",'Cost Margin'!$J19=""),'Cost Margin'!$B$8,'Cost Margin'!$J19),W$5),MIN(IF(OR('Cost Margin'!$B$14="Y",'Cost Margin'!$K19=""),'Cost Margin'!$B$9,'Cost Margin'!$K19),W$6),INDEX(Settings!$A$35:$D$74,0,MATCH('Cost Margin'!$C19,Settings!$A$34:$D$34,0))),NETWORKDAYS(MAX(IF(OR('Cost Margin'!$B$14="Y",'Cost Margin'!$J19=""),'Cost Margin'!$B$8,'Cost Margin'!$J19),W$5),MIN(IF(OR('Cost Margin'!$B$14="Y",'Cost Margin'!$K19=""),'Cost Margin'!$B$9,'Cost Margin'!$K19),W$6)))))</f>
        <v>0</v>
      </c>
      <c r="X11" s="35" t="n">
        <f aca="false">IF(OR(X$5="",'Cost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Margin'!$K19),X$6)&lt;MAX(IF(OR('Cost Margin'!$B$14="Y",'Cost Margin'!$J19=""),'Cost Margin'!$B$8,'Cost Margin'!$J19),X$5),0,IFERROR(NETWORKDAYS(MAX(IF(OR('Cost Margin'!$B$14="Y",'Cost Margin'!$J19=""),'Cost Margin'!$B$8,'Cost Margin'!$J19),X$5),MIN(IF(OR('Cost Margin'!$B$14="Y",'Cost Margin'!$K19=""),'Cost Margin'!$B$9,'Cost Margin'!$K19),X$6),INDEX(Settings!$A$35:$D$74,0,MATCH('Cost Margin'!$C19,Settings!$A$34:$D$34,0))),NETWORKDAYS(MAX(IF(OR('Cost Margin'!$B$14="Y",'Cost Margin'!$J19=""),'Cost Margin'!$B$8,'Cost Margin'!$J19),X$5),MIN(IF(OR('Cost Margin'!$B$14="Y",'Cost Margin'!$K19=""),'Cost Margin'!$B$9,'Cost Margin'!$K19),X$6)))))</f>
        <v>0</v>
      </c>
      <c r="Y11" s="35" t="n">
        <f aca="false">IF(OR(Y$5="",'Cost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Margin'!$K19),Y$6)&lt;MAX(IF(OR('Cost Margin'!$B$14="Y",'Cost Margin'!$J19=""),'Cost Margin'!$B$8,'Cost Margin'!$J19),Y$5),0,IFERROR(NETWORKDAYS(MAX(IF(OR('Cost Margin'!$B$14="Y",'Cost Margin'!$J19=""),'Cost Margin'!$B$8,'Cost Margin'!$J19),Y$5),MIN(IF(OR('Cost Margin'!$B$14="Y",'Cost Margin'!$K19=""),'Cost Margin'!$B$9,'Cost Margin'!$K19),Y$6),INDEX(Settings!$A$35:$D$74,0,MATCH('Cost Margin'!$C19,Settings!$A$34:$D$34,0))),NETWORKDAYS(MAX(IF(OR('Cost Margin'!$B$14="Y",'Cost Margin'!$J19=""),'Cost Margin'!$B$8,'Cost Margin'!$J19),Y$5),MIN(IF(OR('Cost Margin'!$B$14="Y",'Cost Margin'!$K19=""),'Cost Margin'!$B$9,'Cost Margin'!$K19),Y$6)))))</f>
        <v>0</v>
      </c>
      <c r="Z11" s="35" t="n">
        <f aca="false">IF(OR(Z$5="",'Cost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Margin'!$K19),Z$6)&lt;MAX(IF(OR('Cost Margin'!$B$14="Y",'Cost Margin'!$J19=""),'Cost Margin'!$B$8,'Cost Margin'!$J19),Z$5),0,IFERROR(NETWORKDAYS(MAX(IF(OR('Cost Margin'!$B$14="Y",'Cost Margin'!$J19=""),'Cost Margin'!$B$8,'Cost Margin'!$J19),Z$5),MIN(IF(OR('Cost Margin'!$B$14="Y",'Cost Margin'!$K19=""),'Cost Margin'!$B$9,'Cost Margin'!$K19),Z$6),INDEX(Settings!$A$35:$D$74,0,MATCH('Cost Margin'!$C19,Settings!$A$34:$D$34,0))),NETWORKDAYS(MAX(IF(OR('Cost Margin'!$B$14="Y",'Cost Margin'!$J19=""),'Cost Margin'!$B$8,'Cost Margin'!$J19),Z$5),MIN(IF(OR('Cost Margin'!$B$14="Y",'Cost Margin'!$K19=""),'Cost Margin'!$B$9,'Cost Margin'!$K19),Z$6)))))</f>
        <v>0</v>
      </c>
      <c r="AB11" s="34" t="str">
        <f aca="false">IF('Cost Margin'!A19="","",IF('Cost Margin'!E19="","(unassigned)",'Cost Margin'!E19))</f>
        <v/>
      </c>
    </row>
    <row r="12" customFormat="false" ht="15" hidden="false" customHeight="false" outlineLevel="0" collapsed="false">
      <c r="A12" s="0" t="n">
        <v>4</v>
      </c>
      <c r="B12" s="34" t="str">
        <f aca="false">IF('Cost Margin'!A20="","",'Cost Margin'!A20&amp;IF('Cost Margin'!E20="",""," · "&amp;'Cost Margin'!E20))</f>
        <v/>
      </c>
      <c r="C12" s="35" t="n">
        <f aca="false">IF(OR(C$5="",'Cost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Margin'!$K20),C$6)&lt;MAX(IF(OR('Cost Margin'!$B$14="Y",'Cost Margin'!$J20=""),'Cost Margin'!$B$8,'Cost Margin'!$J20),C$5),0,IFERROR(NETWORKDAYS(MAX(IF(OR('Cost Margin'!$B$14="Y",'Cost Margin'!$J20=""),'Cost Margin'!$B$8,'Cost Margin'!$J20),C$5),MIN(IF(OR('Cost Margin'!$B$14="Y",'Cost Margin'!$K20=""),'Cost Margin'!$B$9,'Cost Margin'!$K20),C$6),INDEX(Settings!$A$35:$D$74,0,MATCH('Cost Margin'!$C20,Settings!$A$34:$D$34,0))),NETWORKDAYS(MAX(IF(OR('Cost Margin'!$B$14="Y",'Cost Margin'!$J20=""),'Cost Margin'!$B$8,'Cost Margin'!$J20),C$5),MIN(IF(OR('Cost Margin'!$B$14="Y",'Cost Margin'!$K20=""),'Cost Margin'!$B$9,'Cost Margin'!$K20),C$6)))))</f>
        <v>0</v>
      </c>
      <c r="D12" s="35" t="n">
        <f aca="false">IF(OR(D$5="",'Cost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Margin'!$K20),D$6)&lt;MAX(IF(OR('Cost Margin'!$B$14="Y",'Cost Margin'!$J20=""),'Cost Margin'!$B$8,'Cost Margin'!$J20),D$5),0,IFERROR(NETWORKDAYS(MAX(IF(OR('Cost Margin'!$B$14="Y",'Cost Margin'!$J20=""),'Cost Margin'!$B$8,'Cost Margin'!$J20),D$5),MIN(IF(OR('Cost Margin'!$B$14="Y",'Cost Margin'!$K20=""),'Cost Margin'!$B$9,'Cost Margin'!$K20),D$6),INDEX(Settings!$A$35:$D$74,0,MATCH('Cost Margin'!$C20,Settings!$A$34:$D$34,0))),NETWORKDAYS(MAX(IF(OR('Cost Margin'!$B$14="Y",'Cost Margin'!$J20=""),'Cost Margin'!$B$8,'Cost Margin'!$J20),D$5),MIN(IF(OR('Cost Margin'!$B$14="Y",'Cost Margin'!$K20=""),'Cost Margin'!$B$9,'Cost Margin'!$K20),D$6)))))</f>
        <v>0</v>
      </c>
      <c r="E12" s="35" t="n">
        <f aca="false">IF(OR(E$5="",'Cost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Margin'!$K20),E$6)&lt;MAX(IF(OR('Cost Margin'!$B$14="Y",'Cost Margin'!$J20=""),'Cost Margin'!$B$8,'Cost Margin'!$J20),E$5),0,IFERROR(NETWORKDAYS(MAX(IF(OR('Cost Margin'!$B$14="Y",'Cost Margin'!$J20=""),'Cost Margin'!$B$8,'Cost Margin'!$J20),E$5),MIN(IF(OR('Cost Margin'!$B$14="Y",'Cost Margin'!$K20=""),'Cost Margin'!$B$9,'Cost Margin'!$K20),E$6),INDEX(Settings!$A$35:$D$74,0,MATCH('Cost Margin'!$C20,Settings!$A$34:$D$34,0))),NETWORKDAYS(MAX(IF(OR('Cost Margin'!$B$14="Y",'Cost Margin'!$J20=""),'Cost Margin'!$B$8,'Cost Margin'!$J20),E$5),MIN(IF(OR('Cost Margin'!$B$14="Y",'Cost Margin'!$K20=""),'Cost Margin'!$B$9,'Cost Margin'!$K20),E$6)))))</f>
        <v>0</v>
      </c>
      <c r="F12" s="35" t="n">
        <f aca="false">IF(OR(F$5="",'Cost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Margin'!$K20),F$6)&lt;MAX(IF(OR('Cost Margin'!$B$14="Y",'Cost Margin'!$J20=""),'Cost Margin'!$B$8,'Cost Margin'!$J20),F$5),0,IFERROR(NETWORKDAYS(MAX(IF(OR('Cost Margin'!$B$14="Y",'Cost Margin'!$J20=""),'Cost Margin'!$B$8,'Cost Margin'!$J20),F$5),MIN(IF(OR('Cost Margin'!$B$14="Y",'Cost Margin'!$K20=""),'Cost Margin'!$B$9,'Cost Margin'!$K20),F$6),INDEX(Settings!$A$35:$D$74,0,MATCH('Cost Margin'!$C20,Settings!$A$34:$D$34,0))),NETWORKDAYS(MAX(IF(OR('Cost Margin'!$B$14="Y",'Cost Margin'!$J20=""),'Cost Margin'!$B$8,'Cost Margin'!$J20),F$5),MIN(IF(OR('Cost Margin'!$B$14="Y",'Cost Margin'!$K20=""),'Cost Margin'!$B$9,'Cost Margin'!$K20),F$6)))))</f>
        <v>0</v>
      </c>
      <c r="G12" s="35" t="n">
        <f aca="false">IF(OR(G$5="",'Cost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Margin'!$K20),G$6)&lt;MAX(IF(OR('Cost Margin'!$B$14="Y",'Cost Margin'!$J20=""),'Cost Margin'!$B$8,'Cost Margin'!$J20),G$5),0,IFERROR(NETWORKDAYS(MAX(IF(OR('Cost Margin'!$B$14="Y",'Cost Margin'!$J20=""),'Cost Margin'!$B$8,'Cost Margin'!$J20),G$5),MIN(IF(OR('Cost Margin'!$B$14="Y",'Cost Margin'!$K20=""),'Cost Margin'!$B$9,'Cost Margin'!$K20),G$6),INDEX(Settings!$A$35:$D$74,0,MATCH('Cost Margin'!$C20,Settings!$A$34:$D$34,0))),NETWORKDAYS(MAX(IF(OR('Cost Margin'!$B$14="Y",'Cost Margin'!$J20=""),'Cost Margin'!$B$8,'Cost Margin'!$J20),G$5),MIN(IF(OR('Cost Margin'!$B$14="Y",'Cost Margin'!$K20=""),'Cost Margin'!$B$9,'Cost Margin'!$K20),G$6)))))</f>
        <v>0</v>
      </c>
      <c r="H12" s="35" t="n">
        <f aca="false">IF(OR(H$5="",'Cost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Margin'!$K20),H$6)&lt;MAX(IF(OR('Cost Margin'!$B$14="Y",'Cost Margin'!$J20=""),'Cost Margin'!$B$8,'Cost Margin'!$J20),H$5),0,IFERROR(NETWORKDAYS(MAX(IF(OR('Cost Margin'!$B$14="Y",'Cost Margin'!$J20=""),'Cost Margin'!$B$8,'Cost Margin'!$J20),H$5),MIN(IF(OR('Cost Margin'!$B$14="Y",'Cost Margin'!$K20=""),'Cost Margin'!$B$9,'Cost Margin'!$K20),H$6),INDEX(Settings!$A$35:$D$74,0,MATCH('Cost Margin'!$C20,Settings!$A$34:$D$34,0))),NETWORKDAYS(MAX(IF(OR('Cost Margin'!$B$14="Y",'Cost Margin'!$J20=""),'Cost Margin'!$B$8,'Cost Margin'!$J20),H$5),MIN(IF(OR('Cost Margin'!$B$14="Y",'Cost Margin'!$K20=""),'Cost Margin'!$B$9,'Cost Margin'!$K20),H$6)))))</f>
        <v>0</v>
      </c>
      <c r="I12" s="35" t="n">
        <f aca="false">IF(OR(I$5="",'Cost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Margin'!$K20),I$6)&lt;MAX(IF(OR('Cost Margin'!$B$14="Y",'Cost Margin'!$J20=""),'Cost Margin'!$B$8,'Cost Margin'!$J20),I$5),0,IFERROR(NETWORKDAYS(MAX(IF(OR('Cost Margin'!$B$14="Y",'Cost Margin'!$J20=""),'Cost Margin'!$B$8,'Cost Margin'!$J20),I$5),MIN(IF(OR('Cost Margin'!$B$14="Y",'Cost Margin'!$K20=""),'Cost Margin'!$B$9,'Cost Margin'!$K20),I$6),INDEX(Settings!$A$35:$D$74,0,MATCH('Cost Margin'!$C20,Settings!$A$34:$D$34,0))),NETWORKDAYS(MAX(IF(OR('Cost Margin'!$B$14="Y",'Cost Margin'!$J20=""),'Cost Margin'!$B$8,'Cost Margin'!$J20),I$5),MIN(IF(OR('Cost Margin'!$B$14="Y",'Cost Margin'!$K20=""),'Cost Margin'!$B$9,'Cost Margin'!$K20),I$6)))))</f>
        <v>0</v>
      </c>
      <c r="J12" s="35" t="n">
        <f aca="false">IF(OR(J$5="",'Cost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Margin'!$K20),J$6)&lt;MAX(IF(OR('Cost Margin'!$B$14="Y",'Cost Margin'!$J20=""),'Cost Margin'!$B$8,'Cost Margin'!$J20),J$5),0,IFERROR(NETWORKDAYS(MAX(IF(OR('Cost Margin'!$B$14="Y",'Cost Margin'!$J20=""),'Cost Margin'!$B$8,'Cost Margin'!$J20),J$5),MIN(IF(OR('Cost Margin'!$B$14="Y",'Cost Margin'!$K20=""),'Cost Margin'!$B$9,'Cost Margin'!$K20),J$6),INDEX(Settings!$A$35:$D$74,0,MATCH('Cost Margin'!$C20,Settings!$A$34:$D$34,0))),NETWORKDAYS(MAX(IF(OR('Cost Margin'!$B$14="Y",'Cost Margin'!$J20=""),'Cost Margin'!$B$8,'Cost Margin'!$J20),J$5),MIN(IF(OR('Cost Margin'!$B$14="Y",'Cost Margin'!$K20=""),'Cost Margin'!$B$9,'Cost Margin'!$K20),J$6)))))</f>
        <v>0</v>
      </c>
      <c r="K12" s="35" t="n">
        <f aca="false">IF(OR(K$5="",'Cost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Margin'!$K20),K$6)&lt;MAX(IF(OR('Cost Margin'!$B$14="Y",'Cost Margin'!$J20=""),'Cost Margin'!$B$8,'Cost Margin'!$J20),K$5),0,IFERROR(NETWORKDAYS(MAX(IF(OR('Cost Margin'!$B$14="Y",'Cost Margin'!$J20=""),'Cost Margin'!$B$8,'Cost Margin'!$J20),K$5),MIN(IF(OR('Cost Margin'!$B$14="Y",'Cost Margin'!$K20=""),'Cost Margin'!$B$9,'Cost Margin'!$K20),K$6),INDEX(Settings!$A$35:$D$74,0,MATCH('Cost Margin'!$C20,Settings!$A$34:$D$34,0))),NETWORKDAYS(MAX(IF(OR('Cost Margin'!$B$14="Y",'Cost Margin'!$J20=""),'Cost Margin'!$B$8,'Cost Margin'!$J20),K$5),MIN(IF(OR('Cost Margin'!$B$14="Y",'Cost Margin'!$K20=""),'Cost Margin'!$B$9,'Cost Margin'!$K20),K$6)))))</f>
        <v>0</v>
      </c>
      <c r="L12" s="35" t="n">
        <f aca="false">IF(OR(L$5="",'Cost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Margin'!$K20),L$6)&lt;MAX(IF(OR('Cost Margin'!$B$14="Y",'Cost Margin'!$J20=""),'Cost Margin'!$B$8,'Cost Margin'!$J20),L$5),0,IFERROR(NETWORKDAYS(MAX(IF(OR('Cost Margin'!$B$14="Y",'Cost Margin'!$J20=""),'Cost Margin'!$B$8,'Cost Margin'!$J20),L$5),MIN(IF(OR('Cost Margin'!$B$14="Y",'Cost Margin'!$K20=""),'Cost Margin'!$B$9,'Cost Margin'!$K20),L$6),INDEX(Settings!$A$35:$D$74,0,MATCH('Cost Margin'!$C20,Settings!$A$34:$D$34,0))),NETWORKDAYS(MAX(IF(OR('Cost Margin'!$B$14="Y",'Cost Margin'!$J20=""),'Cost Margin'!$B$8,'Cost Margin'!$J20),L$5),MIN(IF(OR('Cost Margin'!$B$14="Y",'Cost Margin'!$K20=""),'Cost Margin'!$B$9,'Cost Margin'!$K20),L$6)))))</f>
        <v>0</v>
      </c>
      <c r="M12" s="35" t="n">
        <f aca="false">IF(OR(M$5="",'Cost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Margin'!$K20),M$6)&lt;MAX(IF(OR('Cost Margin'!$B$14="Y",'Cost Margin'!$J20=""),'Cost Margin'!$B$8,'Cost Margin'!$J20),M$5),0,IFERROR(NETWORKDAYS(MAX(IF(OR('Cost Margin'!$B$14="Y",'Cost Margin'!$J20=""),'Cost Margin'!$B$8,'Cost Margin'!$J20),M$5),MIN(IF(OR('Cost Margin'!$B$14="Y",'Cost Margin'!$K20=""),'Cost Margin'!$B$9,'Cost Margin'!$K20),M$6),INDEX(Settings!$A$35:$D$74,0,MATCH('Cost Margin'!$C20,Settings!$A$34:$D$34,0))),NETWORKDAYS(MAX(IF(OR('Cost Margin'!$B$14="Y",'Cost Margin'!$J20=""),'Cost Margin'!$B$8,'Cost Margin'!$J20),M$5),MIN(IF(OR('Cost Margin'!$B$14="Y",'Cost Margin'!$K20=""),'Cost Margin'!$B$9,'Cost Margin'!$K20),M$6)))))</f>
        <v>0</v>
      </c>
      <c r="N12" s="35" t="n">
        <f aca="false">IF(OR(N$5="",'Cost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Margin'!$K20),N$6)&lt;MAX(IF(OR('Cost Margin'!$B$14="Y",'Cost Margin'!$J20=""),'Cost Margin'!$B$8,'Cost Margin'!$J20),N$5),0,IFERROR(NETWORKDAYS(MAX(IF(OR('Cost Margin'!$B$14="Y",'Cost Margin'!$J20=""),'Cost Margin'!$B$8,'Cost Margin'!$J20),N$5),MIN(IF(OR('Cost Margin'!$B$14="Y",'Cost Margin'!$K20=""),'Cost Margin'!$B$9,'Cost Margin'!$K20),N$6),INDEX(Settings!$A$35:$D$74,0,MATCH('Cost Margin'!$C20,Settings!$A$34:$D$34,0))),NETWORKDAYS(MAX(IF(OR('Cost Margin'!$B$14="Y",'Cost Margin'!$J20=""),'Cost Margin'!$B$8,'Cost Margin'!$J20),N$5),MIN(IF(OR('Cost Margin'!$B$14="Y",'Cost Margin'!$K20=""),'Cost Margin'!$B$9,'Cost Margin'!$K20),N$6)))))</f>
        <v>0</v>
      </c>
      <c r="O12" s="35" t="n">
        <f aca="false">IF(OR(O$5="",'Cost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Margin'!$K20),O$6)&lt;MAX(IF(OR('Cost Margin'!$B$14="Y",'Cost Margin'!$J20=""),'Cost Margin'!$B$8,'Cost Margin'!$J20),O$5),0,IFERROR(NETWORKDAYS(MAX(IF(OR('Cost Margin'!$B$14="Y",'Cost Margin'!$J20=""),'Cost Margin'!$B$8,'Cost Margin'!$J20),O$5),MIN(IF(OR('Cost Margin'!$B$14="Y",'Cost Margin'!$K20=""),'Cost Margin'!$B$9,'Cost Margin'!$K20),O$6),INDEX(Settings!$A$35:$D$74,0,MATCH('Cost Margin'!$C20,Settings!$A$34:$D$34,0))),NETWORKDAYS(MAX(IF(OR('Cost Margin'!$B$14="Y",'Cost Margin'!$J20=""),'Cost Margin'!$B$8,'Cost Margin'!$J20),O$5),MIN(IF(OR('Cost Margin'!$B$14="Y",'Cost Margin'!$K20=""),'Cost Margin'!$B$9,'Cost Margin'!$K20),O$6)))))</f>
        <v>0</v>
      </c>
      <c r="P12" s="35" t="n">
        <f aca="false">IF(OR(P$5="",'Cost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Margin'!$K20),P$6)&lt;MAX(IF(OR('Cost Margin'!$B$14="Y",'Cost Margin'!$J20=""),'Cost Margin'!$B$8,'Cost Margin'!$J20),P$5),0,IFERROR(NETWORKDAYS(MAX(IF(OR('Cost Margin'!$B$14="Y",'Cost Margin'!$J20=""),'Cost Margin'!$B$8,'Cost Margin'!$J20),P$5),MIN(IF(OR('Cost Margin'!$B$14="Y",'Cost Margin'!$K20=""),'Cost Margin'!$B$9,'Cost Margin'!$K20),P$6),INDEX(Settings!$A$35:$D$74,0,MATCH('Cost Margin'!$C20,Settings!$A$34:$D$34,0))),NETWORKDAYS(MAX(IF(OR('Cost Margin'!$B$14="Y",'Cost Margin'!$J20=""),'Cost Margin'!$B$8,'Cost Margin'!$J20),P$5),MIN(IF(OR('Cost Margin'!$B$14="Y",'Cost Margin'!$K20=""),'Cost Margin'!$B$9,'Cost Margin'!$K20),P$6)))))</f>
        <v>0</v>
      </c>
      <c r="Q12" s="35" t="n">
        <f aca="false">IF(OR(Q$5="",'Cost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Margin'!$K20),Q$6)&lt;MAX(IF(OR('Cost Margin'!$B$14="Y",'Cost Margin'!$J20=""),'Cost Margin'!$B$8,'Cost Margin'!$J20),Q$5),0,IFERROR(NETWORKDAYS(MAX(IF(OR('Cost Margin'!$B$14="Y",'Cost Margin'!$J20=""),'Cost Margin'!$B$8,'Cost Margin'!$J20),Q$5),MIN(IF(OR('Cost Margin'!$B$14="Y",'Cost Margin'!$K20=""),'Cost Margin'!$B$9,'Cost Margin'!$K20),Q$6),INDEX(Settings!$A$35:$D$74,0,MATCH('Cost Margin'!$C20,Settings!$A$34:$D$34,0))),NETWORKDAYS(MAX(IF(OR('Cost Margin'!$B$14="Y",'Cost Margin'!$J20=""),'Cost Margin'!$B$8,'Cost Margin'!$J20),Q$5),MIN(IF(OR('Cost Margin'!$B$14="Y",'Cost Margin'!$K20=""),'Cost Margin'!$B$9,'Cost Margin'!$K20),Q$6)))))</f>
        <v>0</v>
      </c>
      <c r="R12" s="35" t="n">
        <f aca="false">IF(OR(R$5="",'Cost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Margin'!$K20),R$6)&lt;MAX(IF(OR('Cost Margin'!$B$14="Y",'Cost Margin'!$J20=""),'Cost Margin'!$B$8,'Cost Margin'!$J20),R$5),0,IFERROR(NETWORKDAYS(MAX(IF(OR('Cost Margin'!$B$14="Y",'Cost Margin'!$J20=""),'Cost Margin'!$B$8,'Cost Margin'!$J20),R$5),MIN(IF(OR('Cost Margin'!$B$14="Y",'Cost Margin'!$K20=""),'Cost Margin'!$B$9,'Cost Margin'!$K20),R$6),INDEX(Settings!$A$35:$D$74,0,MATCH('Cost Margin'!$C20,Settings!$A$34:$D$34,0))),NETWORKDAYS(MAX(IF(OR('Cost Margin'!$B$14="Y",'Cost Margin'!$J20=""),'Cost Margin'!$B$8,'Cost Margin'!$J20),R$5),MIN(IF(OR('Cost Margin'!$B$14="Y",'Cost Margin'!$K20=""),'Cost Margin'!$B$9,'Cost Margin'!$K20),R$6)))))</f>
        <v>0</v>
      </c>
      <c r="S12" s="35" t="n">
        <f aca="false">IF(OR(S$5="",'Cost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Margin'!$K20),S$6)&lt;MAX(IF(OR('Cost Margin'!$B$14="Y",'Cost Margin'!$J20=""),'Cost Margin'!$B$8,'Cost Margin'!$J20),S$5),0,IFERROR(NETWORKDAYS(MAX(IF(OR('Cost Margin'!$B$14="Y",'Cost Margin'!$J20=""),'Cost Margin'!$B$8,'Cost Margin'!$J20),S$5),MIN(IF(OR('Cost Margin'!$B$14="Y",'Cost Margin'!$K20=""),'Cost Margin'!$B$9,'Cost Margin'!$K20),S$6),INDEX(Settings!$A$35:$D$74,0,MATCH('Cost Margin'!$C20,Settings!$A$34:$D$34,0))),NETWORKDAYS(MAX(IF(OR('Cost Margin'!$B$14="Y",'Cost Margin'!$J20=""),'Cost Margin'!$B$8,'Cost Margin'!$J20),S$5),MIN(IF(OR('Cost Margin'!$B$14="Y",'Cost Margin'!$K20=""),'Cost Margin'!$B$9,'Cost Margin'!$K20),S$6)))))</f>
        <v>0</v>
      </c>
      <c r="T12" s="35" t="n">
        <f aca="false">IF(OR(T$5="",'Cost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Margin'!$K20),T$6)&lt;MAX(IF(OR('Cost Margin'!$B$14="Y",'Cost Margin'!$J20=""),'Cost Margin'!$B$8,'Cost Margin'!$J20),T$5),0,IFERROR(NETWORKDAYS(MAX(IF(OR('Cost Margin'!$B$14="Y",'Cost Margin'!$J20=""),'Cost Margin'!$B$8,'Cost Margin'!$J20),T$5),MIN(IF(OR('Cost Margin'!$B$14="Y",'Cost Margin'!$K20=""),'Cost Margin'!$B$9,'Cost Margin'!$K20),T$6),INDEX(Settings!$A$35:$D$74,0,MATCH('Cost Margin'!$C20,Settings!$A$34:$D$34,0))),NETWORKDAYS(MAX(IF(OR('Cost Margin'!$B$14="Y",'Cost Margin'!$J20=""),'Cost Margin'!$B$8,'Cost Margin'!$J20),T$5),MIN(IF(OR('Cost Margin'!$B$14="Y",'Cost Margin'!$K20=""),'Cost Margin'!$B$9,'Cost Margin'!$K20),T$6)))))</f>
        <v>0</v>
      </c>
      <c r="U12" s="35" t="n">
        <f aca="false">IF(OR(U$5="",'Cost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Margin'!$K20),U$6)&lt;MAX(IF(OR('Cost Margin'!$B$14="Y",'Cost Margin'!$J20=""),'Cost Margin'!$B$8,'Cost Margin'!$J20),U$5),0,IFERROR(NETWORKDAYS(MAX(IF(OR('Cost Margin'!$B$14="Y",'Cost Margin'!$J20=""),'Cost Margin'!$B$8,'Cost Margin'!$J20),U$5),MIN(IF(OR('Cost Margin'!$B$14="Y",'Cost Margin'!$K20=""),'Cost Margin'!$B$9,'Cost Margin'!$K20),U$6),INDEX(Settings!$A$35:$D$74,0,MATCH('Cost Margin'!$C20,Settings!$A$34:$D$34,0))),NETWORKDAYS(MAX(IF(OR('Cost Margin'!$B$14="Y",'Cost Margin'!$J20=""),'Cost Margin'!$B$8,'Cost Margin'!$J20),U$5),MIN(IF(OR('Cost Margin'!$B$14="Y",'Cost Margin'!$K20=""),'Cost Margin'!$B$9,'Cost Margin'!$K20),U$6)))))</f>
        <v>0</v>
      </c>
      <c r="V12" s="35" t="n">
        <f aca="false">IF(OR(V$5="",'Cost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Margin'!$K20),V$6)&lt;MAX(IF(OR('Cost Margin'!$B$14="Y",'Cost Margin'!$J20=""),'Cost Margin'!$B$8,'Cost Margin'!$J20),V$5),0,IFERROR(NETWORKDAYS(MAX(IF(OR('Cost Margin'!$B$14="Y",'Cost Margin'!$J20=""),'Cost Margin'!$B$8,'Cost Margin'!$J20),V$5),MIN(IF(OR('Cost Margin'!$B$14="Y",'Cost Margin'!$K20=""),'Cost Margin'!$B$9,'Cost Margin'!$K20),V$6),INDEX(Settings!$A$35:$D$74,0,MATCH('Cost Margin'!$C20,Settings!$A$34:$D$34,0))),NETWORKDAYS(MAX(IF(OR('Cost Margin'!$B$14="Y",'Cost Margin'!$J20=""),'Cost Margin'!$B$8,'Cost Margin'!$J20),V$5),MIN(IF(OR('Cost Margin'!$B$14="Y",'Cost Margin'!$K20=""),'Cost Margin'!$B$9,'Cost Margin'!$K20),V$6)))))</f>
        <v>0</v>
      </c>
      <c r="W12" s="35" t="n">
        <f aca="false">IF(OR(W$5="",'Cost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Margin'!$K20),W$6)&lt;MAX(IF(OR('Cost Margin'!$B$14="Y",'Cost Margin'!$J20=""),'Cost Margin'!$B$8,'Cost Margin'!$J20),W$5),0,IFERROR(NETWORKDAYS(MAX(IF(OR('Cost Margin'!$B$14="Y",'Cost Margin'!$J20=""),'Cost Margin'!$B$8,'Cost Margin'!$J20),W$5),MIN(IF(OR('Cost Margin'!$B$14="Y",'Cost Margin'!$K20=""),'Cost Margin'!$B$9,'Cost Margin'!$K20),W$6),INDEX(Settings!$A$35:$D$74,0,MATCH('Cost Margin'!$C20,Settings!$A$34:$D$34,0))),NETWORKDAYS(MAX(IF(OR('Cost Margin'!$B$14="Y",'Cost Margin'!$J20=""),'Cost Margin'!$B$8,'Cost Margin'!$J20),W$5),MIN(IF(OR('Cost Margin'!$B$14="Y",'Cost Margin'!$K20=""),'Cost Margin'!$B$9,'Cost Margin'!$K20),W$6)))))</f>
        <v>0</v>
      </c>
      <c r="X12" s="35" t="n">
        <f aca="false">IF(OR(X$5="",'Cost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Margin'!$K20),X$6)&lt;MAX(IF(OR('Cost Margin'!$B$14="Y",'Cost Margin'!$J20=""),'Cost Margin'!$B$8,'Cost Margin'!$J20),X$5),0,IFERROR(NETWORKDAYS(MAX(IF(OR('Cost Margin'!$B$14="Y",'Cost Margin'!$J20=""),'Cost Margin'!$B$8,'Cost Margin'!$J20),X$5),MIN(IF(OR('Cost Margin'!$B$14="Y",'Cost Margin'!$K20=""),'Cost Margin'!$B$9,'Cost Margin'!$K20),X$6),INDEX(Settings!$A$35:$D$74,0,MATCH('Cost Margin'!$C20,Settings!$A$34:$D$34,0))),NETWORKDAYS(MAX(IF(OR('Cost Margin'!$B$14="Y",'Cost Margin'!$J20=""),'Cost Margin'!$B$8,'Cost Margin'!$J20),X$5),MIN(IF(OR('Cost Margin'!$B$14="Y",'Cost Margin'!$K20=""),'Cost Margin'!$B$9,'Cost Margin'!$K20),X$6)))))</f>
        <v>0</v>
      </c>
      <c r="Y12" s="35" t="n">
        <f aca="false">IF(OR(Y$5="",'Cost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Margin'!$K20),Y$6)&lt;MAX(IF(OR('Cost Margin'!$B$14="Y",'Cost Margin'!$J20=""),'Cost Margin'!$B$8,'Cost Margin'!$J20),Y$5),0,IFERROR(NETWORKDAYS(MAX(IF(OR('Cost Margin'!$B$14="Y",'Cost Margin'!$J20=""),'Cost Margin'!$B$8,'Cost Margin'!$J20),Y$5),MIN(IF(OR('Cost Margin'!$B$14="Y",'Cost Margin'!$K20=""),'Cost Margin'!$B$9,'Cost Margin'!$K20),Y$6),INDEX(Settings!$A$35:$D$74,0,MATCH('Cost Margin'!$C20,Settings!$A$34:$D$34,0))),NETWORKDAYS(MAX(IF(OR('Cost Margin'!$B$14="Y",'Cost Margin'!$J20=""),'Cost Margin'!$B$8,'Cost Margin'!$J20),Y$5),MIN(IF(OR('Cost Margin'!$B$14="Y",'Cost Margin'!$K20=""),'Cost Margin'!$B$9,'Cost Margin'!$K20),Y$6)))))</f>
        <v>0</v>
      </c>
      <c r="Z12" s="35" t="n">
        <f aca="false">IF(OR(Z$5="",'Cost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Margin'!$K20),Z$6)&lt;MAX(IF(OR('Cost Margin'!$B$14="Y",'Cost Margin'!$J20=""),'Cost Margin'!$B$8,'Cost Margin'!$J20),Z$5),0,IFERROR(NETWORKDAYS(MAX(IF(OR('Cost Margin'!$B$14="Y",'Cost Margin'!$J20=""),'Cost Margin'!$B$8,'Cost Margin'!$J20),Z$5),MIN(IF(OR('Cost Margin'!$B$14="Y",'Cost Margin'!$K20=""),'Cost Margin'!$B$9,'Cost Margin'!$K20),Z$6),INDEX(Settings!$A$35:$D$74,0,MATCH('Cost Margin'!$C20,Settings!$A$34:$D$34,0))),NETWORKDAYS(MAX(IF(OR('Cost Margin'!$B$14="Y",'Cost Margin'!$J20=""),'Cost Margin'!$B$8,'Cost Margin'!$J20),Z$5),MIN(IF(OR('Cost Margin'!$B$14="Y",'Cost Margin'!$K20=""),'Cost Margin'!$B$9,'Cost Margin'!$K20),Z$6)))))</f>
        <v>0</v>
      </c>
      <c r="AB12" s="34" t="str">
        <f aca="false">IF('Cost Margin'!A20="","",IF('Cost Margin'!E20="","(unassigned)",'Cost Margin'!E20))</f>
        <v/>
      </c>
    </row>
    <row r="13" customFormat="false" ht="15" hidden="false" customHeight="false" outlineLevel="0" collapsed="false">
      <c r="A13" s="0" t="n">
        <v>5</v>
      </c>
      <c r="B13" s="34" t="str">
        <f aca="false">IF('Cost Margin'!A21="","",'Cost Margin'!A21&amp;IF('Cost Margin'!E21="",""," · "&amp;'Cost Margin'!E21))</f>
        <v/>
      </c>
      <c r="C13" s="35" t="n">
        <f aca="false">IF(OR(C$5="",'Cost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Margin'!$K21),C$6)&lt;MAX(IF(OR('Cost Margin'!$B$14="Y",'Cost Margin'!$J21=""),'Cost Margin'!$B$8,'Cost Margin'!$J21),C$5),0,IFERROR(NETWORKDAYS(MAX(IF(OR('Cost Margin'!$B$14="Y",'Cost Margin'!$J21=""),'Cost Margin'!$B$8,'Cost Margin'!$J21),C$5),MIN(IF(OR('Cost Margin'!$B$14="Y",'Cost Margin'!$K21=""),'Cost Margin'!$B$9,'Cost Margin'!$K21),C$6),INDEX(Settings!$A$35:$D$74,0,MATCH('Cost Margin'!$C21,Settings!$A$34:$D$34,0))),NETWORKDAYS(MAX(IF(OR('Cost Margin'!$B$14="Y",'Cost Margin'!$J21=""),'Cost Margin'!$B$8,'Cost Margin'!$J21),C$5),MIN(IF(OR('Cost Margin'!$B$14="Y",'Cost Margin'!$K21=""),'Cost Margin'!$B$9,'Cost Margin'!$K21),C$6)))))</f>
        <v>0</v>
      </c>
      <c r="D13" s="35" t="n">
        <f aca="false">IF(OR(D$5="",'Cost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Margin'!$K21),D$6)&lt;MAX(IF(OR('Cost Margin'!$B$14="Y",'Cost Margin'!$J21=""),'Cost Margin'!$B$8,'Cost Margin'!$J21),D$5),0,IFERROR(NETWORKDAYS(MAX(IF(OR('Cost Margin'!$B$14="Y",'Cost Margin'!$J21=""),'Cost Margin'!$B$8,'Cost Margin'!$J21),D$5),MIN(IF(OR('Cost Margin'!$B$14="Y",'Cost Margin'!$K21=""),'Cost Margin'!$B$9,'Cost Margin'!$K21),D$6),INDEX(Settings!$A$35:$D$74,0,MATCH('Cost Margin'!$C21,Settings!$A$34:$D$34,0))),NETWORKDAYS(MAX(IF(OR('Cost Margin'!$B$14="Y",'Cost Margin'!$J21=""),'Cost Margin'!$B$8,'Cost Margin'!$J21),D$5),MIN(IF(OR('Cost Margin'!$B$14="Y",'Cost Margin'!$K21=""),'Cost Margin'!$B$9,'Cost Margin'!$K21),D$6)))))</f>
        <v>0</v>
      </c>
      <c r="E13" s="35" t="n">
        <f aca="false">IF(OR(E$5="",'Cost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Margin'!$K21),E$6)&lt;MAX(IF(OR('Cost Margin'!$B$14="Y",'Cost Margin'!$J21=""),'Cost Margin'!$B$8,'Cost Margin'!$J21),E$5),0,IFERROR(NETWORKDAYS(MAX(IF(OR('Cost Margin'!$B$14="Y",'Cost Margin'!$J21=""),'Cost Margin'!$B$8,'Cost Margin'!$J21),E$5),MIN(IF(OR('Cost Margin'!$B$14="Y",'Cost Margin'!$K21=""),'Cost Margin'!$B$9,'Cost Margin'!$K21),E$6),INDEX(Settings!$A$35:$D$74,0,MATCH('Cost Margin'!$C21,Settings!$A$34:$D$34,0))),NETWORKDAYS(MAX(IF(OR('Cost Margin'!$B$14="Y",'Cost Margin'!$J21=""),'Cost Margin'!$B$8,'Cost Margin'!$J21),E$5),MIN(IF(OR('Cost Margin'!$B$14="Y",'Cost Margin'!$K21=""),'Cost Margin'!$B$9,'Cost Margin'!$K21),E$6)))))</f>
        <v>0</v>
      </c>
      <c r="F13" s="35" t="n">
        <f aca="false">IF(OR(F$5="",'Cost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Margin'!$K21),F$6)&lt;MAX(IF(OR('Cost Margin'!$B$14="Y",'Cost Margin'!$J21=""),'Cost Margin'!$B$8,'Cost Margin'!$J21),F$5),0,IFERROR(NETWORKDAYS(MAX(IF(OR('Cost Margin'!$B$14="Y",'Cost Margin'!$J21=""),'Cost Margin'!$B$8,'Cost Margin'!$J21),F$5),MIN(IF(OR('Cost Margin'!$B$14="Y",'Cost Margin'!$K21=""),'Cost Margin'!$B$9,'Cost Margin'!$K21),F$6),INDEX(Settings!$A$35:$D$74,0,MATCH('Cost Margin'!$C21,Settings!$A$34:$D$34,0))),NETWORKDAYS(MAX(IF(OR('Cost Margin'!$B$14="Y",'Cost Margin'!$J21=""),'Cost Margin'!$B$8,'Cost Margin'!$J21),F$5),MIN(IF(OR('Cost Margin'!$B$14="Y",'Cost Margin'!$K21=""),'Cost Margin'!$B$9,'Cost Margin'!$K21),F$6)))))</f>
        <v>0</v>
      </c>
      <c r="G13" s="35" t="n">
        <f aca="false">IF(OR(G$5="",'Cost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Margin'!$K21),G$6)&lt;MAX(IF(OR('Cost Margin'!$B$14="Y",'Cost Margin'!$J21=""),'Cost Margin'!$B$8,'Cost Margin'!$J21),G$5),0,IFERROR(NETWORKDAYS(MAX(IF(OR('Cost Margin'!$B$14="Y",'Cost Margin'!$J21=""),'Cost Margin'!$B$8,'Cost Margin'!$J21),G$5),MIN(IF(OR('Cost Margin'!$B$14="Y",'Cost Margin'!$K21=""),'Cost Margin'!$B$9,'Cost Margin'!$K21),G$6),INDEX(Settings!$A$35:$D$74,0,MATCH('Cost Margin'!$C21,Settings!$A$34:$D$34,0))),NETWORKDAYS(MAX(IF(OR('Cost Margin'!$B$14="Y",'Cost Margin'!$J21=""),'Cost Margin'!$B$8,'Cost Margin'!$J21),G$5),MIN(IF(OR('Cost Margin'!$B$14="Y",'Cost Margin'!$K21=""),'Cost Margin'!$B$9,'Cost Margin'!$K21),G$6)))))</f>
        <v>0</v>
      </c>
      <c r="H13" s="35" t="n">
        <f aca="false">IF(OR(H$5="",'Cost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Margin'!$K21),H$6)&lt;MAX(IF(OR('Cost Margin'!$B$14="Y",'Cost Margin'!$J21=""),'Cost Margin'!$B$8,'Cost Margin'!$J21),H$5),0,IFERROR(NETWORKDAYS(MAX(IF(OR('Cost Margin'!$B$14="Y",'Cost Margin'!$J21=""),'Cost Margin'!$B$8,'Cost Margin'!$J21),H$5),MIN(IF(OR('Cost Margin'!$B$14="Y",'Cost Margin'!$K21=""),'Cost Margin'!$B$9,'Cost Margin'!$K21),H$6),INDEX(Settings!$A$35:$D$74,0,MATCH('Cost Margin'!$C21,Settings!$A$34:$D$34,0))),NETWORKDAYS(MAX(IF(OR('Cost Margin'!$B$14="Y",'Cost Margin'!$J21=""),'Cost Margin'!$B$8,'Cost Margin'!$J21),H$5),MIN(IF(OR('Cost Margin'!$B$14="Y",'Cost Margin'!$K21=""),'Cost Margin'!$B$9,'Cost Margin'!$K21),H$6)))))</f>
        <v>0</v>
      </c>
      <c r="I13" s="35" t="n">
        <f aca="false">IF(OR(I$5="",'Cost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Margin'!$K21),I$6)&lt;MAX(IF(OR('Cost Margin'!$B$14="Y",'Cost Margin'!$J21=""),'Cost Margin'!$B$8,'Cost Margin'!$J21),I$5),0,IFERROR(NETWORKDAYS(MAX(IF(OR('Cost Margin'!$B$14="Y",'Cost Margin'!$J21=""),'Cost Margin'!$B$8,'Cost Margin'!$J21),I$5),MIN(IF(OR('Cost Margin'!$B$14="Y",'Cost Margin'!$K21=""),'Cost Margin'!$B$9,'Cost Margin'!$K21),I$6),INDEX(Settings!$A$35:$D$74,0,MATCH('Cost Margin'!$C21,Settings!$A$34:$D$34,0))),NETWORKDAYS(MAX(IF(OR('Cost Margin'!$B$14="Y",'Cost Margin'!$J21=""),'Cost Margin'!$B$8,'Cost Margin'!$J21),I$5),MIN(IF(OR('Cost Margin'!$B$14="Y",'Cost Margin'!$K21=""),'Cost Margin'!$B$9,'Cost Margin'!$K21),I$6)))))</f>
        <v>0</v>
      </c>
      <c r="J13" s="35" t="n">
        <f aca="false">IF(OR(J$5="",'Cost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Margin'!$K21),J$6)&lt;MAX(IF(OR('Cost Margin'!$B$14="Y",'Cost Margin'!$J21=""),'Cost Margin'!$B$8,'Cost Margin'!$J21),J$5),0,IFERROR(NETWORKDAYS(MAX(IF(OR('Cost Margin'!$B$14="Y",'Cost Margin'!$J21=""),'Cost Margin'!$B$8,'Cost Margin'!$J21),J$5),MIN(IF(OR('Cost Margin'!$B$14="Y",'Cost Margin'!$K21=""),'Cost Margin'!$B$9,'Cost Margin'!$K21),J$6),INDEX(Settings!$A$35:$D$74,0,MATCH('Cost Margin'!$C21,Settings!$A$34:$D$34,0))),NETWORKDAYS(MAX(IF(OR('Cost Margin'!$B$14="Y",'Cost Margin'!$J21=""),'Cost Margin'!$B$8,'Cost Margin'!$J21),J$5),MIN(IF(OR('Cost Margin'!$B$14="Y",'Cost Margin'!$K21=""),'Cost Margin'!$B$9,'Cost Margin'!$K21),J$6)))))</f>
        <v>0</v>
      </c>
      <c r="K13" s="35" t="n">
        <f aca="false">IF(OR(K$5="",'Cost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Margin'!$K21),K$6)&lt;MAX(IF(OR('Cost Margin'!$B$14="Y",'Cost Margin'!$J21=""),'Cost Margin'!$B$8,'Cost Margin'!$J21),K$5),0,IFERROR(NETWORKDAYS(MAX(IF(OR('Cost Margin'!$B$14="Y",'Cost Margin'!$J21=""),'Cost Margin'!$B$8,'Cost Margin'!$J21),K$5),MIN(IF(OR('Cost Margin'!$B$14="Y",'Cost Margin'!$K21=""),'Cost Margin'!$B$9,'Cost Margin'!$K21),K$6),INDEX(Settings!$A$35:$D$74,0,MATCH('Cost Margin'!$C21,Settings!$A$34:$D$34,0))),NETWORKDAYS(MAX(IF(OR('Cost Margin'!$B$14="Y",'Cost Margin'!$J21=""),'Cost Margin'!$B$8,'Cost Margin'!$J21),K$5),MIN(IF(OR('Cost Margin'!$B$14="Y",'Cost Margin'!$K21=""),'Cost Margin'!$B$9,'Cost Margin'!$K21),K$6)))))</f>
        <v>0</v>
      </c>
      <c r="L13" s="35" t="n">
        <f aca="false">IF(OR(L$5="",'Cost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Margin'!$K21),L$6)&lt;MAX(IF(OR('Cost Margin'!$B$14="Y",'Cost Margin'!$J21=""),'Cost Margin'!$B$8,'Cost Margin'!$J21),L$5),0,IFERROR(NETWORKDAYS(MAX(IF(OR('Cost Margin'!$B$14="Y",'Cost Margin'!$J21=""),'Cost Margin'!$B$8,'Cost Margin'!$J21),L$5),MIN(IF(OR('Cost Margin'!$B$14="Y",'Cost Margin'!$K21=""),'Cost Margin'!$B$9,'Cost Margin'!$K21),L$6),INDEX(Settings!$A$35:$D$74,0,MATCH('Cost Margin'!$C21,Settings!$A$34:$D$34,0))),NETWORKDAYS(MAX(IF(OR('Cost Margin'!$B$14="Y",'Cost Margin'!$J21=""),'Cost Margin'!$B$8,'Cost Margin'!$J21),L$5),MIN(IF(OR('Cost Margin'!$B$14="Y",'Cost Margin'!$K21=""),'Cost Margin'!$B$9,'Cost Margin'!$K21),L$6)))))</f>
        <v>0</v>
      </c>
      <c r="M13" s="35" t="n">
        <f aca="false">IF(OR(M$5="",'Cost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Margin'!$K21),M$6)&lt;MAX(IF(OR('Cost Margin'!$B$14="Y",'Cost Margin'!$J21=""),'Cost Margin'!$B$8,'Cost Margin'!$J21),M$5),0,IFERROR(NETWORKDAYS(MAX(IF(OR('Cost Margin'!$B$14="Y",'Cost Margin'!$J21=""),'Cost Margin'!$B$8,'Cost Margin'!$J21),M$5),MIN(IF(OR('Cost Margin'!$B$14="Y",'Cost Margin'!$K21=""),'Cost Margin'!$B$9,'Cost Margin'!$K21),M$6),INDEX(Settings!$A$35:$D$74,0,MATCH('Cost Margin'!$C21,Settings!$A$34:$D$34,0))),NETWORKDAYS(MAX(IF(OR('Cost Margin'!$B$14="Y",'Cost Margin'!$J21=""),'Cost Margin'!$B$8,'Cost Margin'!$J21),M$5),MIN(IF(OR('Cost Margin'!$B$14="Y",'Cost Margin'!$K21=""),'Cost Margin'!$B$9,'Cost Margin'!$K21),M$6)))))</f>
        <v>0</v>
      </c>
      <c r="N13" s="35" t="n">
        <f aca="false">IF(OR(N$5="",'Cost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Margin'!$K21),N$6)&lt;MAX(IF(OR('Cost Margin'!$B$14="Y",'Cost Margin'!$J21=""),'Cost Margin'!$B$8,'Cost Margin'!$J21),N$5),0,IFERROR(NETWORKDAYS(MAX(IF(OR('Cost Margin'!$B$14="Y",'Cost Margin'!$J21=""),'Cost Margin'!$B$8,'Cost Margin'!$J21),N$5),MIN(IF(OR('Cost Margin'!$B$14="Y",'Cost Margin'!$K21=""),'Cost Margin'!$B$9,'Cost Margin'!$K21),N$6),INDEX(Settings!$A$35:$D$74,0,MATCH('Cost Margin'!$C21,Settings!$A$34:$D$34,0))),NETWORKDAYS(MAX(IF(OR('Cost Margin'!$B$14="Y",'Cost Margin'!$J21=""),'Cost Margin'!$B$8,'Cost Margin'!$J21),N$5),MIN(IF(OR('Cost Margin'!$B$14="Y",'Cost Margin'!$K21=""),'Cost Margin'!$B$9,'Cost Margin'!$K21),N$6)))))</f>
        <v>0</v>
      </c>
      <c r="O13" s="35" t="n">
        <f aca="false">IF(OR(O$5="",'Cost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Margin'!$K21),O$6)&lt;MAX(IF(OR('Cost Margin'!$B$14="Y",'Cost Margin'!$J21=""),'Cost Margin'!$B$8,'Cost Margin'!$J21),O$5),0,IFERROR(NETWORKDAYS(MAX(IF(OR('Cost Margin'!$B$14="Y",'Cost Margin'!$J21=""),'Cost Margin'!$B$8,'Cost Margin'!$J21),O$5),MIN(IF(OR('Cost Margin'!$B$14="Y",'Cost Margin'!$K21=""),'Cost Margin'!$B$9,'Cost Margin'!$K21),O$6),INDEX(Settings!$A$35:$D$74,0,MATCH('Cost Margin'!$C21,Settings!$A$34:$D$34,0))),NETWORKDAYS(MAX(IF(OR('Cost Margin'!$B$14="Y",'Cost Margin'!$J21=""),'Cost Margin'!$B$8,'Cost Margin'!$J21),O$5),MIN(IF(OR('Cost Margin'!$B$14="Y",'Cost Margin'!$K21=""),'Cost Margin'!$B$9,'Cost Margin'!$K21),O$6)))))</f>
        <v>0</v>
      </c>
      <c r="P13" s="35" t="n">
        <f aca="false">IF(OR(P$5="",'Cost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Margin'!$K21),P$6)&lt;MAX(IF(OR('Cost Margin'!$B$14="Y",'Cost Margin'!$J21=""),'Cost Margin'!$B$8,'Cost Margin'!$J21),P$5),0,IFERROR(NETWORKDAYS(MAX(IF(OR('Cost Margin'!$B$14="Y",'Cost Margin'!$J21=""),'Cost Margin'!$B$8,'Cost Margin'!$J21),P$5),MIN(IF(OR('Cost Margin'!$B$14="Y",'Cost Margin'!$K21=""),'Cost Margin'!$B$9,'Cost Margin'!$K21),P$6),INDEX(Settings!$A$35:$D$74,0,MATCH('Cost Margin'!$C21,Settings!$A$34:$D$34,0))),NETWORKDAYS(MAX(IF(OR('Cost Margin'!$B$14="Y",'Cost Margin'!$J21=""),'Cost Margin'!$B$8,'Cost Margin'!$J21),P$5),MIN(IF(OR('Cost Margin'!$B$14="Y",'Cost Margin'!$K21=""),'Cost Margin'!$B$9,'Cost Margin'!$K21),P$6)))))</f>
        <v>0</v>
      </c>
      <c r="Q13" s="35" t="n">
        <f aca="false">IF(OR(Q$5="",'Cost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Margin'!$K21),Q$6)&lt;MAX(IF(OR('Cost Margin'!$B$14="Y",'Cost Margin'!$J21=""),'Cost Margin'!$B$8,'Cost Margin'!$J21),Q$5),0,IFERROR(NETWORKDAYS(MAX(IF(OR('Cost Margin'!$B$14="Y",'Cost Margin'!$J21=""),'Cost Margin'!$B$8,'Cost Margin'!$J21),Q$5),MIN(IF(OR('Cost Margin'!$B$14="Y",'Cost Margin'!$K21=""),'Cost Margin'!$B$9,'Cost Margin'!$K21),Q$6),INDEX(Settings!$A$35:$D$74,0,MATCH('Cost Margin'!$C21,Settings!$A$34:$D$34,0))),NETWORKDAYS(MAX(IF(OR('Cost Margin'!$B$14="Y",'Cost Margin'!$J21=""),'Cost Margin'!$B$8,'Cost Margin'!$J21),Q$5),MIN(IF(OR('Cost Margin'!$B$14="Y",'Cost Margin'!$K21=""),'Cost Margin'!$B$9,'Cost Margin'!$K21),Q$6)))))</f>
        <v>0</v>
      </c>
      <c r="R13" s="35" t="n">
        <f aca="false">IF(OR(R$5="",'Cost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Margin'!$K21),R$6)&lt;MAX(IF(OR('Cost Margin'!$B$14="Y",'Cost Margin'!$J21=""),'Cost Margin'!$B$8,'Cost Margin'!$J21),R$5),0,IFERROR(NETWORKDAYS(MAX(IF(OR('Cost Margin'!$B$14="Y",'Cost Margin'!$J21=""),'Cost Margin'!$B$8,'Cost Margin'!$J21),R$5),MIN(IF(OR('Cost Margin'!$B$14="Y",'Cost Margin'!$K21=""),'Cost Margin'!$B$9,'Cost Margin'!$K21),R$6),INDEX(Settings!$A$35:$D$74,0,MATCH('Cost Margin'!$C21,Settings!$A$34:$D$34,0))),NETWORKDAYS(MAX(IF(OR('Cost Margin'!$B$14="Y",'Cost Margin'!$J21=""),'Cost Margin'!$B$8,'Cost Margin'!$J21),R$5),MIN(IF(OR('Cost Margin'!$B$14="Y",'Cost Margin'!$K21=""),'Cost Margin'!$B$9,'Cost Margin'!$K21),R$6)))))</f>
        <v>0</v>
      </c>
      <c r="S13" s="35" t="n">
        <f aca="false">IF(OR(S$5="",'Cost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Margin'!$K21),S$6)&lt;MAX(IF(OR('Cost Margin'!$B$14="Y",'Cost Margin'!$J21=""),'Cost Margin'!$B$8,'Cost Margin'!$J21),S$5),0,IFERROR(NETWORKDAYS(MAX(IF(OR('Cost Margin'!$B$14="Y",'Cost Margin'!$J21=""),'Cost Margin'!$B$8,'Cost Margin'!$J21),S$5),MIN(IF(OR('Cost Margin'!$B$14="Y",'Cost Margin'!$K21=""),'Cost Margin'!$B$9,'Cost Margin'!$K21),S$6),INDEX(Settings!$A$35:$D$74,0,MATCH('Cost Margin'!$C21,Settings!$A$34:$D$34,0))),NETWORKDAYS(MAX(IF(OR('Cost Margin'!$B$14="Y",'Cost Margin'!$J21=""),'Cost Margin'!$B$8,'Cost Margin'!$J21),S$5),MIN(IF(OR('Cost Margin'!$B$14="Y",'Cost Margin'!$K21=""),'Cost Margin'!$B$9,'Cost Margin'!$K21),S$6)))))</f>
        <v>0</v>
      </c>
      <c r="T13" s="35" t="n">
        <f aca="false">IF(OR(T$5="",'Cost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Margin'!$K21),T$6)&lt;MAX(IF(OR('Cost Margin'!$B$14="Y",'Cost Margin'!$J21=""),'Cost Margin'!$B$8,'Cost Margin'!$J21),T$5),0,IFERROR(NETWORKDAYS(MAX(IF(OR('Cost Margin'!$B$14="Y",'Cost Margin'!$J21=""),'Cost Margin'!$B$8,'Cost Margin'!$J21),T$5),MIN(IF(OR('Cost Margin'!$B$14="Y",'Cost Margin'!$K21=""),'Cost Margin'!$B$9,'Cost Margin'!$K21),T$6),INDEX(Settings!$A$35:$D$74,0,MATCH('Cost Margin'!$C21,Settings!$A$34:$D$34,0))),NETWORKDAYS(MAX(IF(OR('Cost Margin'!$B$14="Y",'Cost Margin'!$J21=""),'Cost Margin'!$B$8,'Cost Margin'!$J21),T$5),MIN(IF(OR('Cost Margin'!$B$14="Y",'Cost Margin'!$K21=""),'Cost Margin'!$B$9,'Cost Margin'!$K21),T$6)))))</f>
        <v>0</v>
      </c>
      <c r="U13" s="35" t="n">
        <f aca="false">IF(OR(U$5="",'Cost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Margin'!$K21),U$6)&lt;MAX(IF(OR('Cost Margin'!$B$14="Y",'Cost Margin'!$J21=""),'Cost Margin'!$B$8,'Cost Margin'!$J21),U$5),0,IFERROR(NETWORKDAYS(MAX(IF(OR('Cost Margin'!$B$14="Y",'Cost Margin'!$J21=""),'Cost Margin'!$B$8,'Cost Margin'!$J21),U$5),MIN(IF(OR('Cost Margin'!$B$14="Y",'Cost Margin'!$K21=""),'Cost Margin'!$B$9,'Cost Margin'!$K21),U$6),INDEX(Settings!$A$35:$D$74,0,MATCH('Cost Margin'!$C21,Settings!$A$34:$D$34,0))),NETWORKDAYS(MAX(IF(OR('Cost Margin'!$B$14="Y",'Cost Margin'!$J21=""),'Cost Margin'!$B$8,'Cost Margin'!$J21),U$5),MIN(IF(OR('Cost Margin'!$B$14="Y",'Cost Margin'!$K21=""),'Cost Margin'!$B$9,'Cost Margin'!$K21),U$6)))))</f>
        <v>0</v>
      </c>
      <c r="V13" s="35" t="n">
        <f aca="false">IF(OR(V$5="",'Cost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Margin'!$K21),V$6)&lt;MAX(IF(OR('Cost Margin'!$B$14="Y",'Cost Margin'!$J21=""),'Cost Margin'!$B$8,'Cost Margin'!$J21),V$5),0,IFERROR(NETWORKDAYS(MAX(IF(OR('Cost Margin'!$B$14="Y",'Cost Margin'!$J21=""),'Cost Margin'!$B$8,'Cost Margin'!$J21),V$5),MIN(IF(OR('Cost Margin'!$B$14="Y",'Cost Margin'!$K21=""),'Cost Margin'!$B$9,'Cost Margin'!$K21),V$6),INDEX(Settings!$A$35:$D$74,0,MATCH('Cost Margin'!$C21,Settings!$A$34:$D$34,0))),NETWORKDAYS(MAX(IF(OR('Cost Margin'!$B$14="Y",'Cost Margin'!$J21=""),'Cost Margin'!$B$8,'Cost Margin'!$J21),V$5),MIN(IF(OR('Cost Margin'!$B$14="Y",'Cost Margin'!$K21=""),'Cost Margin'!$B$9,'Cost Margin'!$K21),V$6)))))</f>
        <v>0</v>
      </c>
      <c r="W13" s="35" t="n">
        <f aca="false">IF(OR(W$5="",'Cost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Margin'!$K21),W$6)&lt;MAX(IF(OR('Cost Margin'!$B$14="Y",'Cost Margin'!$J21=""),'Cost Margin'!$B$8,'Cost Margin'!$J21),W$5),0,IFERROR(NETWORKDAYS(MAX(IF(OR('Cost Margin'!$B$14="Y",'Cost Margin'!$J21=""),'Cost Margin'!$B$8,'Cost Margin'!$J21),W$5),MIN(IF(OR('Cost Margin'!$B$14="Y",'Cost Margin'!$K21=""),'Cost Margin'!$B$9,'Cost Margin'!$K21),W$6),INDEX(Settings!$A$35:$D$74,0,MATCH('Cost Margin'!$C21,Settings!$A$34:$D$34,0))),NETWORKDAYS(MAX(IF(OR('Cost Margin'!$B$14="Y",'Cost Margin'!$J21=""),'Cost Margin'!$B$8,'Cost Margin'!$J21),W$5),MIN(IF(OR('Cost Margin'!$B$14="Y",'Cost Margin'!$K21=""),'Cost Margin'!$B$9,'Cost Margin'!$K21),W$6)))))</f>
        <v>0</v>
      </c>
      <c r="X13" s="35" t="n">
        <f aca="false">IF(OR(X$5="",'Cost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Margin'!$K21),X$6)&lt;MAX(IF(OR('Cost Margin'!$B$14="Y",'Cost Margin'!$J21=""),'Cost Margin'!$B$8,'Cost Margin'!$J21),X$5),0,IFERROR(NETWORKDAYS(MAX(IF(OR('Cost Margin'!$B$14="Y",'Cost Margin'!$J21=""),'Cost Margin'!$B$8,'Cost Margin'!$J21),X$5),MIN(IF(OR('Cost Margin'!$B$14="Y",'Cost Margin'!$K21=""),'Cost Margin'!$B$9,'Cost Margin'!$K21),X$6),INDEX(Settings!$A$35:$D$74,0,MATCH('Cost Margin'!$C21,Settings!$A$34:$D$34,0))),NETWORKDAYS(MAX(IF(OR('Cost Margin'!$B$14="Y",'Cost Margin'!$J21=""),'Cost Margin'!$B$8,'Cost Margin'!$J21),X$5),MIN(IF(OR('Cost Margin'!$B$14="Y",'Cost Margin'!$K21=""),'Cost Margin'!$B$9,'Cost Margin'!$K21),X$6)))))</f>
        <v>0</v>
      </c>
      <c r="Y13" s="35" t="n">
        <f aca="false">IF(OR(Y$5="",'Cost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Margin'!$K21),Y$6)&lt;MAX(IF(OR('Cost Margin'!$B$14="Y",'Cost Margin'!$J21=""),'Cost Margin'!$B$8,'Cost Margin'!$J21),Y$5),0,IFERROR(NETWORKDAYS(MAX(IF(OR('Cost Margin'!$B$14="Y",'Cost Margin'!$J21=""),'Cost Margin'!$B$8,'Cost Margin'!$J21),Y$5),MIN(IF(OR('Cost Margin'!$B$14="Y",'Cost Margin'!$K21=""),'Cost Margin'!$B$9,'Cost Margin'!$K21),Y$6),INDEX(Settings!$A$35:$D$74,0,MATCH('Cost Margin'!$C21,Settings!$A$34:$D$34,0))),NETWORKDAYS(MAX(IF(OR('Cost Margin'!$B$14="Y",'Cost Margin'!$J21=""),'Cost Margin'!$B$8,'Cost Margin'!$J21),Y$5),MIN(IF(OR('Cost Margin'!$B$14="Y",'Cost Margin'!$K21=""),'Cost Margin'!$B$9,'Cost Margin'!$K21),Y$6)))))</f>
        <v>0</v>
      </c>
      <c r="Z13" s="35" t="n">
        <f aca="false">IF(OR(Z$5="",'Cost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Margin'!$K21),Z$6)&lt;MAX(IF(OR('Cost Margin'!$B$14="Y",'Cost Margin'!$J21=""),'Cost Margin'!$B$8,'Cost Margin'!$J21),Z$5),0,IFERROR(NETWORKDAYS(MAX(IF(OR('Cost Margin'!$B$14="Y",'Cost Margin'!$J21=""),'Cost Margin'!$B$8,'Cost Margin'!$J21),Z$5),MIN(IF(OR('Cost Margin'!$B$14="Y",'Cost Margin'!$K21=""),'Cost Margin'!$B$9,'Cost Margin'!$K21),Z$6),INDEX(Settings!$A$35:$D$74,0,MATCH('Cost Margin'!$C21,Settings!$A$34:$D$34,0))),NETWORKDAYS(MAX(IF(OR('Cost Margin'!$B$14="Y",'Cost Margin'!$J21=""),'Cost Margin'!$B$8,'Cost Margin'!$J21),Z$5),MIN(IF(OR('Cost Margin'!$B$14="Y",'Cost Margin'!$K21=""),'Cost Margin'!$B$9,'Cost Margin'!$K21),Z$6)))))</f>
        <v>0</v>
      </c>
      <c r="AB13" s="34" t="str">
        <f aca="false">IF('Cost Margin'!A21="","",IF('Cost Margin'!E21="","(unassigned)",'Cost Margin'!E21))</f>
        <v/>
      </c>
    </row>
    <row r="14" customFormat="false" ht="15" hidden="false" customHeight="false" outlineLevel="0" collapsed="false">
      <c r="A14" s="0" t="n">
        <v>6</v>
      </c>
      <c r="B14" s="34" t="str">
        <f aca="false">IF('Cost Margin'!A22="","",'Cost Margin'!A22&amp;IF('Cost Margin'!E22="",""," · "&amp;'Cost Margin'!E22))</f>
        <v/>
      </c>
      <c r="C14" s="35" t="n">
        <f aca="false">IF(OR(C$5="",'Cost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Margin'!$K22),C$6)&lt;MAX(IF(OR('Cost Margin'!$B$14="Y",'Cost Margin'!$J22=""),'Cost Margin'!$B$8,'Cost Margin'!$J22),C$5),0,IFERROR(NETWORKDAYS(MAX(IF(OR('Cost Margin'!$B$14="Y",'Cost Margin'!$J22=""),'Cost Margin'!$B$8,'Cost Margin'!$J22),C$5),MIN(IF(OR('Cost Margin'!$B$14="Y",'Cost Margin'!$K22=""),'Cost Margin'!$B$9,'Cost Margin'!$K22),C$6),INDEX(Settings!$A$35:$D$74,0,MATCH('Cost Margin'!$C22,Settings!$A$34:$D$34,0))),NETWORKDAYS(MAX(IF(OR('Cost Margin'!$B$14="Y",'Cost Margin'!$J22=""),'Cost Margin'!$B$8,'Cost Margin'!$J22),C$5),MIN(IF(OR('Cost Margin'!$B$14="Y",'Cost Margin'!$K22=""),'Cost Margin'!$B$9,'Cost Margin'!$K22),C$6)))))</f>
        <v>0</v>
      </c>
      <c r="D14" s="35" t="n">
        <f aca="false">IF(OR(D$5="",'Cost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Margin'!$K22),D$6)&lt;MAX(IF(OR('Cost Margin'!$B$14="Y",'Cost Margin'!$J22=""),'Cost Margin'!$B$8,'Cost Margin'!$J22),D$5),0,IFERROR(NETWORKDAYS(MAX(IF(OR('Cost Margin'!$B$14="Y",'Cost Margin'!$J22=""),'Cost Margin'!$B$8,'Cost Margin'!$J22),D$5),MIN(IF(OR('Cost Margin'!$B$14="Y",'Cost Margin'!$K22=""),'Cost Margin'!$B$9,'Cost Margin'!$K22),D$6),INDEX(Settings!$A$35:$D$74,0,MATCH('Cost Margin'!$C22,Settings!$A$34:$D$34,0))),NETWORKDAYS(MAX(IF(OR('Cost Margin'!$B$14="Y",'Cost Margin'!$J22=""),'Cost Margin'!$B$8,'Cost Margin'!$J22),D$5),MIN(IF(OR('Cost Margin'!$B$14="Y",'Cost Margin'!$K22=""),'Cost Margin'!$B$9,'Cost Margin'!$K22),D$6)))))</f>
        <v>0</v>
      </c>
      <c r="E14" s="35" t="n">
        <f aca="false">IF(OR(E$5="",'Cost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Margin'!$K22),E$6)&lt;MAX(IF(OR('Cost Margin'!$B$14="Y",'Cost Margin'!$J22=""),'Cost Margin'!$B$8,'Cost Margin'!$J22),E$5),0,IFERROR(NETWORKDAYS(MAX(IF(OR('Cost Margin'!$B$14="Y",'Cost Margin'!$J22=""),'Cost Margin'!$B$8,'Cost Margin'!$J22),E$5),MIN(IF(OR('Cost Margin'!$B$14="Y",'Cost Margin'!$K22=""),'Cost Margin'!$B$9,'Cost Margin'!$K22),E$6),INDEX(Settings!$A$35:$D$74,0,MATCH('Cost Margin'!$C22,Settings!$A$34:$D$34,0))),NETWORKDAYS(MAX(IF(OR('Cost Margin'!$B$14="Y",'Cost Margin'!$J22=""),'Cost Margin'!$B$8,'Cost Margin'!$J22),E$5),MIN(IF(OR('Cost Margin'!$B$14="Y",'Cost Margin'!$K22=""),'Cost Margin'!$B$9,'Cost Margin'!$K22),E$6)))))</f>
        <v>0</v>
      </c>
      <c r="F14" s="35" t="n">
        <f aca="false">IF(OR(F$5="",'Cost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Margin'!$K22),F$6)&lt;MAX(IF(OR('Cost Margin'!$B$14="Y",'Cost Margin'!$J22=""),'Cost Margin'!$B$8,'Cost Margin'!$J22),F$5),0,IFERROR(NETWORKDAYS(MAX(IF(OR('Cost Margin'!$B$14="Y",'Cost Margin'!$J22=""),'Cost Margin'!$B$8,'Cost Margin'!$J22),F$5),MIN(IF(OR('Cost Margin'!$B$14="Y",'Cost Margin'!$K22=""),'Cost Margin'!$B$9,'Cost Margin'!$K22),F$6),INDEX(Settings!$A$35:$D$74,0,MATCH('Cost Margin'!$C22,Settings!$A$34:$D$34,0))),NETWORKDAYS(MAX(IF(OR('Cost Margin'!$B$14="Y",'Cost Margin'!$J22=""),'Cost Margin'!$B$8,'Cost Margin'!$J22),F$5),MIN(IF(OR('Cost Margin'!$B$14="Y",'Cost Margin'!$K22=""),'Cost Margin'!$B$9,'Cost Margin'!$K22),F$6)))))</f>
        <v>0</v>
      </c>
      <c r="G14" s="35" t="n">
        <f aca="false">IF(OR(G$5="",'Cost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Margin'!$K22),G$6)&lt;MAX(IF(OR('Cost Margin'!$B$14="Y",'Cost Margin'!$J22=""),'Cost Margin'!$B$8,'Cost Margin'!$J22),G$5),0,IFERROR(NETWORKDAYS(MAX(IF(OR('Cost Margin'!$B$14="Y",'Cost Margin'!$J22=""),'Cost Margin'!$B$8,'Cost Margin'!$J22),G$5),MIN(IF(OR('Cost Margin'!$B$14="Y",'Cost Margin'!$K22=""),'Cost Margin'!$B$9,'Cost Margin'!$K22),G$6),INDEX(Settings!$A$35:$D$74,0,MATCH('Cost Margin'!$C22,Settings!$A$34:$D$34,0))),NETWORKDAYS(MAX(IF(OR('Cost Margin'!$B$14="Y",'Cost Margin'!$J22=""),'Cost Margin'!$B$8,'Cost Margin'!$J22),G$5),MIN(IF(OR('Cost Margin'!$B$14="Y",'Cost Margin'!$K22=""),'Cost Margin'!$B$9,'Cost Margin'!$K22),G$6)))))</f>
        <v>0</v>
      </c>
      <c r="H14" s="35" t="n">
        <f aca="false">IF(OR(H$5="",'Cost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Margin'!$K22),H$6)&lt;MAX(IF(OR('Cost Margin'!$B$14="Y",'Cost Margin'!$J22=""),'Cost Margin'!$B$8,'Cost Margin'!$J22),H$5),0,IFERROR(NETWORKDAYS(MAX(IF(OR('Cost Margin'!$B$14="Y",'Cost Margin'!$J22=""),'Cost Margin'!$B$8,'Cost Margin'!$J22),H$5),MIN(IF(OR('Cost Margin'!$B$14="Y",'Cost Margin'!$K22=""),'Cost Margin'!$B$9,'Cost Margin'!$K22),H$6),INDEX(Settings!$A$35:$D$74,0,MATCH('Cost Margin'!$C22,Settings!$A$34:$D$34,0))),NETWORKDAYS(MAX(IF(OR('Cost Margin'!$B$14="Y",'Cost Margin'!$J22=""),'Cost Margin'!$B$8,'Cost Margin'!$J22),H$5),MIN(IF(OR('Cost Margin'!$B$14="Y",'Cost Margin'!$K22=""),'Cost Margin'!$B$9,'Cost Margin'!$K22),H$6)))))</f>
        <v>0</v>
      </c>
      <c r="I14" s="35" t="n">
        <f aca="false">IF(OR(I$5="",'Cost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Margin'!$K22),I$6)&lt;MAX(IF(OR('Cost Margin'!$B$14="Y",'Cost Margin'!$J22=""),'Cost Margin'!$B$8,'Cost Margin'!$J22),I$5),0,IFERROR(NETWORKDAYS(MAX(IF(OR('Cost Margin'!$B$14="Y",'Cost Margin'!$J22=""),'Cost Margin'!$B$8,'Cost Margin'!$J22),I$5),MIN(IF(OR('Cost Margin'!$B$14="Y",'Cost Margin'!$K22=""),'Cost Margin'!$B$9,'Cost Margin'!$K22),I$6),INDEX(Settings!$A$35:$D$74,0,MATCH('Cost Margin'!$C22,Settings!$A$34:$D$34,0))),NETWORKDAYS(MAX(IF(OR('Cost Margin'!$B$14="Y",'Cost Margin'!$J22=""),'Cost Margin'!$B$8,'Cost Margin'!$J22),I$5),MIN(IF(OR('Cost Margin'!$B$14="Y",'Cost Margin'!$K22=""),'Cost Margin'!$B$9,'Cost Margin'!$K22),I$6)))))</f>
        <v>0</v>
      </c>
      <c r="J14" s="35" t="n">
        <f aca="false">IF(OR(J$5="",'Cost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Margin'!$K22),J$6)&lt;MAX(IF(OR('Cost Margin'!$B$14="Y",'Cost Margin'!$J22=""),'Cost Margin'!$B$8,'Cost Margin'!$J22),J$5),0,IFERROR(NETWORKDAYS(MAX(IF(OR('Cost Margin'!$B$14="Y",'Cost Margin'!$J22=""),'Cost Margin'!$B$8,'Cost Margin'!$J22),J$5),MIN(IF(OR('Cost Margin'!$B$14="Y",'Cost Margin'!$K22=""),'Cost Margin'!$B$9,'Cost Margin'!$K22),J$6),INDEX(Settings!$A$35:$D$74,0,MATCH('Cost Margin'!$C22,Settings!$A$34:$D$34,0))),NETWORKDAYS(MAX(IF(OR('Cost Margin'!$B$14="Y",'Cost Margin'!$J22=""),'Cost Margin'!$B$8,'Cost Margin'!$J22),J$5),MIN(IF(OR('Cost Margin'!$B$14="Y",'Cost Margin'!$K22=""),'Cost Margin'!$B$9,'Cost Margin'!$K22),J$6)))))</f>
        <v>0</v>
      </c>
      <c r="K14" s="35" t="n">
        <f aca="false">IF(OR(K$5="",'Cost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Margin'!$K22),K$6)&lt;MAX(IF(OR('Cost Margin'!$B$14="Y",'Cost Margin'!$J22=""),'Cost Margin'!$B$8,'Cost Margin'!$J22),K$5),0,IFERROR(NETWORKDAYS(MAX(IF(OR('Cost Margin'!$B$14="Y",'Cost Margin'!$J22=""),'Cost Margin'!$B$8,'Cost Margin'!$J22),K$5),MIN(IF(OR('Cost Margin'!$B$14="Y",'Cost Margin'!$K22=""),'Cost Margin'!$B$9,'Cost Margin'!$K22),K$6),INDEX(Settings!$A$35:$D$74,0,MATCH('Cost Margin'!$C22,Settings!$A$34:$D$34,0))),NETWORKDAYS(MAX(IF(OR('Cost Margin'!$B$14="Y",'Cost Margin'!$J22=""),'Cost Margin'!$B$8,'Cost Margin'!$J22),K$5),MIN(IF(OR('Cost Margin'!$B$14="Y",'Cost Margin'!$K22=""),'Cost Margin'!$B$9,'Cost Margin'!$K22),K$6)))))</f>
        <v>0</v>
      </c>
      <c r="L14" s="35" t="n">
        <f aca="false">IF(OR(L$5="",'Cost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Margin'!$K22),L$6)&lt;MAX(IF(OR('Cost Margin'!$B$14="Y",'Cost Margin'!$J22=""),'Cost Margin'!$B$8,'Cost Margin'!$J22),L$5),0,IFERROR(NETWORKDAYS(MAX(IF(OR('Cost Margin'!$B$14="Y",'Cost Margin'!$J22=""),'Cost Margin'!$B$8,'Cost Margin'!$J22),L$5),MIN(IF(OR('Cost Margin'!$B$14="Y",'Cost Margin'!$K22=""),'Cost Margin'!$B$9,'Cost Margin'!$K22),L$6),INDEX(Settings!$A$35:$D$74,0,MATCH('Cost Margin'!$C22,Settings!$A$34:$D$34,0))),NETWORKDAYS(MAX(IF(OR('Cost Margin'!$B$14="Y",'Cost Margin'!$J22=""),'Cost Margin'!$B$8,'Cost Margin'!$J22),L$5),MIN(IF(OR('Cost Margin'!$B$14="Y",'Cost Margin'!$K22=""),'Cost Margin'!$B$9,'Cost Margin'!$K22),L$6)))))</f>
        <v>0</v>
      </c>
      <c r="M14" s="35" t="n">
        <f aca="false">IF(OR(M$5="",'Cost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Margin'!$K22),M$6)&lt;MAX(IF(OR('Cost Margin'!$B$14="Y",'Cost Margin'!$J22=""),'Cost Margin'!$B$8,'Cost Margin'!$J22),M$5),0,IFERROR(NETWORKDAYS(MAX(IF(OR('Cost Margin'!$B$14="Y",'Cost Margin'!$J22=""),'Cost Margin'!$B$8,'Cost Margin'!$J22),M$5),MIN(IF(OR('Cost Margin'!$B$14="Y",'Cost Margin'!$K22=""),'Cost Margin'!$B$9,'Cost Margin'!$K22),M$6),INDEX(Settings!$A$35:$D$74,0,MATCH('Cost Margin'!$C22,Settings!$A$34:$D$34,0))),NETWORKDAYS(MAX(IF(OR('Cost Margin'!$B$14="Y",'Cost Margin'!$J22=""),'Cost Margin'!$B$8,'Cost Margin'!$J22),M$5),MIN(IF(OR('Cost Margin'!$B$14="Y",'Cost Margin'!$K22=""),'Cost Margin'!$B$9,'Cost Margin'!$K22),M$6)))))</f>
        <v>0</v>
      </c>
      <c r="N14" s="35" t="n">
        <f aca="false">IF(OR(N$5="",'Cost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Margin'!$K22),N$6)&lt;MAX(IF(OR('Cost Margin'!$B$14="Y",'Cost Margin'!$J22=""),'Cost Margin'!$B$8,'Cost Margin'!$J22),N$5),0,IFERROR(NETWORKDAYS(MAX(IF(OR('Cost Margin'!$B$14="Y",'Cost Margin'!$J22=""),'Cost Margin'!$B$8,'Cost Margin'!$J22),N$5),MIN(IF(OR('Cost Margin'!$B$14="Y",'Cost Margin'!$K22=""),'Cost Margin'!$B$9,'Cost Margin'!$K22),N$6),INDEX(Settings!$A$35:$D$74,0,MATCH('Cost Margin'!$C22,Settings!$A$34:$D$34,0))),NETWORKDAYS(MAX(IF(OR('Cost Margin'!$B$14="Y",'Cost Margin'!$J22=""),'Cost Margin'!$B$8,'Cost Margin'!$J22),N$5),MIN(IF(OR('Cost Margin'!$B$14="Y",'Cost Margin'!$K22=""),'Cost Margin'!$B$9,'Cost Margin'!$K22),N$6)))))</f>
        <v>0</v>
      </c>
      <c r="O14" s="35" t="n">
        <f aca="false">IF(OR(O$5="",'Cost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Margin'!$K22),O$6)&lt;MAX(IF(OR('Cost Margin'!$B$14="Y",'Cost Margin'!$J22=""),'Cost Margin'!$B$8,'Cost Margin'!$J22),O$5),0,IFERROR(NETWORKDAYS(MAX(IF(OR('Cost Margin'!$B$14="Y",'Cost Margin'!$J22=""),'Cost Margin'!$B$8,'Cost Margin'!$J22),O$5),MIN(IF(OR('Cost Margin'!$B$14="Y",'Cost Margin'!$K22=""),'Cost Margin'!$B$9,'Cost Margin'!$K22),O$6),INDEX(Settings!$A$35:$D$74,0,MATCH('Cost Margin'!$C22,Settings!$A$34:$D$34,0))),NETWORKDAYS(MAX(IF(OR('Cost Margin'!$B$14="Y",'Cost Margin'!$J22=""),'Cost Margin'!$B$8,'Cost Margin'!$J22),O$5),MIN(IF(OR('Cost Margin'!$B$14="Y",'Cost Margin'!$K22=""),'Cost Margin'!$B$9,'Cost Margin'!$K22),O$6)))))</f>
        <v>0</v>
      </c>
      <c r="P14" s="35" t="n">
        <f aca="false">IF(OR(P$5="",'Cost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Margin'!$K22),P$6)&lt;MAX(IF(OR('Cost Margin'!$B$14="Y",'Cost Margin'!$J22=""),'Cost Margin'!$B$8,'Cost Margin'!$J22),P$5),0,IFERROR(NETWORKDAYS(MAX(IF(OR('Cost Margin'!$B$14="Y",'Cost Margin'!$J22=""),'Cost Margin'!$B$8,'Cost Margin'!$J22),P$5),MIN(IF(OR('Cost Margin'!$B$14="Y",'Cost Margin'!$K22=""),'Cost Margin'!$B$9,'Cost Margin'!$K22),P$6),INDEX(Settings!$A$35:$D$74,0,MATCH('Cost Margin'!$C22,Settings!$A$34:$D$34,0))),NETWORKDAYS(MAX(IF(OR('Cost Margin'!$B$14="Y",'Cost Margin'!$J22=""),'Cost Margin'!$B$8,'Cost Margin'!$J22),P$5),MIN(IF(OR('Cost Margin'!$B$14="Y",'Cost Margin'!$K22=""),'Cost Margin'!$B$9,'Cost Margin'!$K22),P$6)))))</f>
        <v>0</v>
      </c>
      <c r="Q14" s="35" t="n">
        <f aca="false">IF(OR(Q$5="",'Cost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Margin'!$K22),Q$6)&lt;MAX(IF(OR('Cost Margin'!$B$14="Y",'Cost Margin'!$J22=""),'Cost Margin'!$B$8,'Cost Margin'!$J22),Q$5),0,IFERROR(NETWORKDAYS(MAX(IF(OR('Cost Margin'!$B$14="Y",'Cost Margin'!$J22=""),'Cost Margin'!$B$8,'Cost Margin'!$J22),Q$5),MIN(IF(OR('Cost Margin'!$B$14="Y",'Cost Margin'!$K22=""),'Cost Margin'!$B$9,'Cost Margin'!$K22),Q$6),INDEX(Settings!$A$35:$D$74,0,MATCH('Cost Margin'!$C22,Settings!$A$34:$D$34,0))),NETWORKDAYS(MAX(IF(OR('Cost Margin'!$B$14="Y",'Cost Margin'!$J22=""),'Cost Margin'!$B$8,'Cost Margin'!$J22),Q$5),MIN(IF(OR('Cost Margin'!$B$14="Y",'Cost Margin'!$K22=""),'Cost Margin'!$B$9,'Cost Margin'!$K22),Q$6)))))</f>
        <v>0</v>
      </c>
      <c r="R14" s="35" t="n">
        <f aca="false">IF(OR(R$5="",'Cost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Margin'!$K22),R$6)&lt;MAX(IF(OR('Cost Margin'!$B$14="Y",'Cost Margin'!$J22=""),'Cost Margin'!$B$8,'Cost Margin'!$J22),R$5),0,IFERROR(NETWORKDAYS(MAX(IF(OR('Cost Margin'!$B$14="Y",'Cost Margin'!$J22=""),'Cost Margin'!$B$8,'Cost Margin'!$J22),R$5),MIN(IF(OR('Cost Margin'!$B$14="Y",'Cost Margin'!$K22=""),'Cost Margin'!$B$9,'Cost Margin'!$K22),R$6),INDEX(Settings!$A$35:$D$74,0,MATCH('Cost Margin'!$C22,Settings!$A$34:$D$34,0))),NETWORKDAYS(MAX(IF(OR('Cost Margin'!$B$14="Y",'Cost Margin'!$J22=""),'Cost Margin'!$B$8,'Cost Margin'!$J22),R$5),MIN(IF(OR('Cost Margin'!$B$14="Y",'Cost Margin'!$K22=""),'Cost Margin'!$B$9,'Cost Margin'!$K22),R$6)))))</f>
        <v>0</v>
      </c>
      <c r="S14" s="35" t="n">
        <f aca="false">IF(OR(S$5="",'Cost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Margin'!$K22),S$6)&lt;MAX(IF(OR('Cost Margin'!$B$14="Y",'Cost Margin'!$J22=""),'Cost Margin'!$B$8,'Cost Margin'!$J22),S$5),0,IFERROR(NETWORKDAYS(MAX(IF(OR('Cost Margin'!$B$14="Y",'Cost Margin'!$J22=""),'Cost Margin'!$B$8,'Cost Margin'!$J22),S$5),MIN(IF(OR('Cost Margin'!$B$14="Y",'Cost Margin'!$K22=""),'Cost Margin'!$B$9,'Cost Margin'!$K22),S$6),INDEX(Settings!$A$35:$D$74,0,MATCH('Cost Margin'!$C22,Settings!$A$34:$D$34,0))),NETWORKDAYS(MAX(IF(OR('Cost Margin'!$B$14="Y",'Cost Margin'!$J22=""),'Cost Margin'!$B$8,'Cost Margin'!$J22),S$5),MIN(IF(OR('Cost Margin'!$B$14="Y",'Cost Margin'!$K22=""),'Cost Margin'!$B$9,'Cost Margin'!$K22),S$6)))))</f>
        <v>0</v>
      </c>
      <c r="T14" s="35" t="n">
        <f aca="false">IF(OR(T$5="",'Cost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Margin'!$K22),T$6)&lt;MAX(IF(OR('Cost Margin'!$B$14="Y",'Cost Margin'!$J22=""),'Cost Margin'!$B$8,'Cost Margin'!$J22),T$5),0,IFERROR(NETWORKDAYS(MAX(IF(OR('Cost Margin'!$B$14="Y",'Cost Margin'!$J22=""),'Cost Margin'!$B$8,'Cost Margin'!$J22),T$5),MIN(IF(OR('Cost Margin'!$B$14="Y",'Cost Margin'!$K22=""),'Cost Margin'!$B$9,'Cost Margin'!$K22),T$6),INDEX(Settings!$A$35:$D$74,0,MATCH('Cost Margin'!$C22,Settings!$A$34:$D$34,0))),NETWORKDAYS(MAX(IF(OR('Cost Margin'!$B$14="Y",'Cost Margin'!$J22=""),'Cost Margin'!$B$8,'Cost Margin'!$J22),T$5),MIN(IF(OR('Cost Margin'!$B$14="Y",'Cost Margin'!$K22=""),'Cost Margin'!$B$9,'Cost Margin'!$K22),T$6)))))</f>
        <v>0</v>
      </c>
      <c r="U14" s="35" t="n">
        <f aca="false">IF(OR(U$5="",'Cost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Margin'!$K22),U$6)&lt;MAX(IF(OR('Cost Margin'!$B$14="Y",'Cost Margin'!$J22=""),'Cost Margin'!$B$8,'Cost Margin'!$J22),U$5),0,IFERROR(NETWORKDAYS(MAX(IF(OR('Cost Margin'!$B$14="Y",'Cost Margin'!$J22=""),'Cost Margin'!$B$8,'Cost Margin'!$J22),U$5),MIN(IF(OR('Cost Margin'!$B$14="Y",'Cost Margin'!$K22=""),'Cost Margin'!$B$9,'Cost Margin'!$K22),U$6),INDEX(Settings!$A$35:$D$74,0,MATCH('Cost Margin'!$C22,Settings!$A$34:$D$34,0))),NETWORKDAYS(MAX(IF(OR('Cost Margin'!$B$14="Y",'Cost Margin'!$J22=""),'Cost Margin'!$B$8,'Cost Margin'!$J22),U$5),MIN(IF(OR('Cost Margin'!$B$14="Y",'Cost Margin'!$K22=""),'Cost Margin'!$B$9,'Cost Margin'!$K22),U$6)))))</f>
        <v>0</v>
      </c>
      <c r="V14" s="35" t="n">
        <f aca="false">IF(OR(V$5="",'Cost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Margin'!$K22),V$6)&lt;MAX(IF(OR('Cost Margin'!$B$14="Y",'Cost Margin'!$J22=""),'Cost Margin'!$B$8,'Cost Margin'!$J22),V$5),0,IFERROR(NETWORKDAYS(MAX(IF(OR('Cost Margin'!$B$14="Y",'Cost Margin'!$J22=""),'Cost Margin'!$B$8,'Cost Margin'!$J22),V$5),MIN(IF(OR('Cost Margin'!$B$14="Y",'Cost Margin'!$K22=""),'Cost Margin'!$B$9,'Cost Margin'!$K22),V$6),INDEX(Settings!$A$35:$D$74,0,MATCH('Cost Margin'!$C22,Settings!$A$34:$D$34,0))),NETWORKDAYS(MAX(IF(OR('Cost Margin'!$B$14="Y",'Cost Margin'!$J22=""),'Cost Margin'!$B$8,'Cost Margin'!$J22),V$5),MIN(IF(OR('Cost Margin'!$B$14="Y",'Cost Margin'!$K22=""),'Cost Margin'!$B$9,'Cost Margin'!$K22),V$6)))))</f>
        <v>0</v>
      </c>
      <c r="W14" s="35" t="n">
        <f aca="false">IF(OR(W$5="",'Cost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Margin'!$K22),W$6)&lt;MAX(IF(OR('Cost Margin'!$B$14="Y",'Cost Margin'!$J22=""),'Cost Margin'!$B$8,'Cost Margin'!$J22),W$5),0,IFERROR(NETWORKDAYS(MAX(IF(OR('Cost Margin'!$B$14="Y",'Cost Margin'!$J22=""),'Cost Margin'!$B$8,'Cost Margin'!$J22),W$5),MIN(IF(OR('Cost Margin'!$B$14="Y",'Cost Margin'!$K22=""),'Cost Margin'!$B$9,'Cost Margin'!$K22),W$6),INDEX(Settings!$A$35:$D$74,0,MATCH('Cost Margin'!$C22,Settings!$A$34:$D$34,0))),NETWORKDAYS(MAX(IF(OR('Cost Margin'!$B$14="Y",'Cost Margin'!$J22=""),'Cost Margin'!$B$8,'Cost Margin'!$J22),W$5),MIN(IF(OR('Cost Margin'!$B$14="Y",'Cost Margin'!$K22=""),'Cost Margin'!$B$9,'Cost Margin'!$K22),W$6)))))</f>
        <v>0</v>
      </c>
      <c r="X14" s="35" t="n">
        <f aca="false">IF(OR(X$5="",'Cost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Margin'!$K22),X$6)&lt;MAX(IF(OR('Cost Margin'!$B$14="Y",'Cost Margin'!$J22=""),'Cost Margin'!$B$8,'Cost Margin'!$J22),X$5),0,IFERROR(NETWORKDAYS(MAX(IF(OR('Cost Margin'!$B$14="Y",'Cost Margin'!$J22=""),'Cost Margin'!$B$8,'Cost Margin'!$J22),X$5),MIN(IF(OR('Cost Margin'!$B$14="Y",'Cost Margin'!$K22=""),'Cost Margin'!$B$9,'Cost Margin'!$K22),X$6),INDEX(Settings!$A$35:$D$74,0,MATCH('Cost Margin'!$C22,Settings!$A$34:$D$34,0))),NETWORKDAYS(MAX(IF(OR('Cost Margin'!$B$14="Y",'Cost Margin'!$J22=""),'Cost Margin'!$B$8,'Cost Margin'!$J22),X$5),MIN(IF(OR('Cost Margin'!$B$14="Y",'Cost Margin'!$K22=""),'Cost Margin'!$B$9,'Cost Margin'!$K22),X$6)))))</f>
        <v>0</v>
      </c>
      <c r="Y14" s="35" t="n">
        <f aca="false">IF(OR(Y$5="",'Cost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Margin'!$K22),Y$6)&lt;MAX(IF(OR('Cost Margin'!$B$14="Y",'Cost Margin'!$J22=""),'Cost Margin'!$B$8,'Cost Margin'!$J22),Y$5),0,IFERROR(NETWORKDAYS(MAX(IF(OR('Cost Margin'!$B$14="Y",'Cost Margin'!$J22=""),'Cost Margin'!$B$8,'Cost Margin'!$J22),Y$5),MIN(IF(OR('Cost Margin'!$B$14="Y",'Cost Margin'!$K22=""),'Cost Margin'!$B$9,'Cost Margin'!$K22),Y$6),INDEX(Settings!$A$35:$D$74,0,MATCH('Cost Margin'!$C22,Settings!$A$34:$D$34,0))),NETWORKDAYS(MAX(IF(OR('Cost Margin'!$B$14="Y",'Cost Margin'!$J22=""),'Cost Margin'!$B$8,'Cost Margin'!$J22),Y$5),MIN(IF(OR('Cost Margin'!$B$14="Y",'Cost Margin'!$K22=""),'Cost Margin'!$B$9,'Cost Margin'!$K22),Y$6)))))</f>
        <v>0</v>
      </c>
      <c r="Z14" s="35" t="n">
        <f aca="false">IF(OR(Z$5="",'Cost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Margin'!$K22),Z$6)&lt;MAX(IF(OR('Cost Margin'!$B$14="Y",'Cost Margin'!$J22=""),'Cost Margin'!$B$8,'Cost Margin'!$J22),Z$5),0,IFERROR(NETWORKDAYS(MAX(IF(OR('Cost Margin'!$B$14="Y",'Cost Margin'!$J22=""),'Cost Margin'!$B$8,'Cost Margin'!$J22),Z$5),MIN(IF(OR('Cost Margin'!$B$14="Y",'Cost Margin'!$K22=""),'Cost Margin'!$B$9,'Cost Margin'!$K22),Z$6),INDEX(Settings!$A$35:$D$74,0,MATCH('Cost Margin'!$C22,Settings!$A$34:$D$34,0))),NETWORKDAYS(MAX(IF(OR('Cost Margin'!$B$14="Y",'Cost Margin'!$J22=""),'Cost Margin'!$B$8,'Cost Margin'!$J22),Z$5),MIN(IF(OR('Cost Margin'!$B$14="Y",'Cost Margin'!$K22=""),'Cost Margin'!$B$9,'Cost Margin'!$K22),Z$6)))))</f>
        <v>0</v>
      </c>
      <c r="AB14" s="34" t="str">
        <f aca="false">IF('Cost Margin'!A22="","",IF('Cost Margin'!E22="","(unassigned)",'Cost Margin'!E22))</f>
        <v/>
      </c>
    </row>
    <row r="15" customFormat="false" ht="15" hidden="false" customHeight="false" outlineLevel="0" collapsed="false">
      <c r="A15" s="0" t="n">
        <v>7</v>
      </c>
      <c r="B15" s="34" t="str">
        <f aca="false">IF('Cost Margin'!A23="","",'Cost Margin'!A23&amp;IF('Cost Margin'!E23="",""," · "&amp;'Cost Margin'!E23))</f>
        <v/>
      </c>
      <c r="C15" s="35" t="n">
        <f aca="false">IF(OR(C$5="",'Cost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Margin'!$K23),C$6)&lt;MAX(IF(OR('Cost Margin'!$B$14="Y",'Cost Margin'!$J23=""),'Cost Margin'!$B$8,'Cost Margin'!$J23),C$5),0,IFERROR(NETWORKDAYS(MAX(IF(OR('Cost Margin'!$B$14="Y",'Cost Margin'!$J23=""),'Cost Margin'!$B$8,'Cost Margin'!$J23),C$5),MIN(IF(OR('Cost Margin'!$B$14="Y",'Cost Margin'!$K23=""),'Cost Margin'!$B$9,'Cost Margin'!$K23),C$6),INDEX(Settings!$A$35:$D$74,0,MATCH('Cost Margin'!$C23,Settings!$A$34:$D$34,0))),NETWORKDAYS(MAX(IF(OR('Cost Margin'!$B$14="Y",'Cost Margin'!$J23=""),'Cost Margin'!$B$8,'Cost Margin'!$J23),C$5),MIN(IF(OR('Cost Margin'!$B$14="Y",'Cost Margin'!$K23=""),'Cost Margin'!$B$9,'Cost Margin'!$K23),C$6)))))</f>
        <v>0</v>
      </c>
      <c r="D15" s="35" t="n">
        <f aca="false">IF(OR(D$5="",'Cost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Margin'!$K23),D$6)&lt;MAX(IF(OR('Cost Margin'!$B$14="Y",'Cost Margin'!$J23=""),'Cost Margin'!$B$8,'Cost Margin'!$J23),D$5),0,IFERROR(NETWORKDAYS(MAX(IF(OR('Cost Margin'!$B$14="Y",'Cost Margin'!$J23=""),'Cost Margin'!$B$8,'Cost Margin'!$J23),D$5),MIN(IF(OR('Cost Margin'!$B$14="Y",'Cost Margin'!$K23=""),'Cost Margin'!$B$9,'Cost Margin'!$K23),D$6),INDEX(Settings!$A$35:$D$74,0,MATCH('Cost Margin'!$C23,Settings!$A$34:$D$34,0))),NETWORKDAYS(MAX(IF(OR('Cost Margin'!$B$14="Y",'Cost Margin'!$J23=""),'Cost Margin'!$B$8,'Cost Margin'!$J23),D$5),MIN(IF(OR('Cost Margin'!$B$14="Y",'Cost Margin'!$K23=""),'Cost Margin'!$B$9,'Cost Margin'!$K23),D$6)))))</f>
        <v>0</v>
      </c>
      <c r="E15" s="35" t="n">
        <f aca="false">IF(OR(E$5="",'Cost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Margin'!$K23),E$6)&lt;MAX(IF(OR('Cost Margin'!$B$14="Y",'Cost Margin'!$J23=""),'Cost Margin'!$B$8,'Cost Margin'!$J23),E$5),0,IFERROR(NETWORKDAYS(MAX(IF(OR('Cost Margin'!$B$14="Y",'Cost Margin'!$J23=""),'Cost Margin'!$B$8,'Cost Margin'!$J23),E$5),MIN(IF(OR('Cost Margin'!$B$14="Y",'Cost Margin'!$K23=""),'Cost Margin'!$B$9,'Cost Margin'!$K23),E$6),INDEX(Settings!$A$35:$D$74,0,MATCH('Cost Margin'!$C23,Settings!$A$34:$D$34,0))),NETWORKDAYS(MAX(IF(OR('Cost Margin'!$B$14="Y",'Cost Margin'!$J23=""),'Cost Margin'!$B$8,'Cost Margin'!$J23),E$5),MIN(IF(OR('Cost Margin'!$B$14="Y",'Cost Margin'!$K23=""),'Cost Margin'!$B$9,'Cost Margin'!$K23),E$6)))))</f>
        <v>0</v>
      </c>
      <c r="F15" s="35" t="n">
        <f aca="false">IF(OR(F$5="",'Cost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Margin'!$K23),F$6)&lt;MAX(IF(OR('Cost Margin'!$B$14="Y",'Cost Margin'!$J23=""),'Cost Margin'!$B$8,'Cost Margin'!$J23),F$5),0,IFERROR(NETWORKDAYS(MAX(IF(OR('Cost Margin'!$B$14="Y",'Cost Margin'!$J23=""),'Cost Margin'!$B$8,'Cost Margin'!$J23),F$5),MIN(IF(OR('Cost Margin'!$B$14="Y",'Cost Margin'!$K23=""),'Cost Margin'!$B$9,'Cost Margin'!$K23),F$6),INDEX(Settings!$A$35:$D$74,0,MATCH('Cost Margin'!$C23,Settings!$A$34:$D$34,0))),NETWORKDAYS(MAX(IF(OR('Cost Margin'!$B$14="Y",'Cost Margin'!$J23=""),'Cost Margin'!$B$8,'Cost Margin'!$J23),F$5),MIN(IF(OR('Cost Margin'!$B$14="Y",'Cost Margin'!$K23=""),'Cost Margin'!$B$9,'Cost Margin'!$K23),F$6)))))</f>
        <v>0</v>
      </c>
      <c r="G15" s="35" t="n">
        <f aca="false">IF(OR(G$5="",'Cost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Margin'!$K23),G$6)&lt;MAX(IF(OR('Cost Margin'!$B$14="Y",'Cost Margin'!$J23=""),'Cost Margin'!$B$8,'Cost Margin'!$J23),G$5),0,IFERROR(NETWORKDAYS(MAX(IF(OR('Cost Margin'!$B$14="Y",'Cost Margin'!$J23=""),'Cost Margin'!$B$8,'Cost Margin'!$J23),G$5),MIN(IF(OR('Cost Margin'!$B$14="Y",'Cost Margin'!$K23=""),'Cost Margin'!$B$9,'Cost Margin'!$K23),G$6),INDEX(Settings!$A$35:$D$74,0,MATCH('Cost Margin'!$C23,Settings!$A$34:$D$34,0))),NETWORKDAYS(MAX(IF(OR('Cost Margin'!$B$14="Y",'Cost Margin'!$J23=""),'Cost Margin'!$B$8,'Cost Margin'!$J23),G$5),MIN(IF(OR('Cost Margin'!$B$14="Y",'Cost Margin'!$K23=""),'Cost Margin'!$B$9,'Cost Margin'!$K23),G$6)))))</f>
        <v>0</v>
      </c>
      <c r="H15" s="35" t="n">
        <f aca="false">IF(OR(H$5="",'Cost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Margin'!$K23),H$6)&lt;MAX(IF(OR('Cost Margin'!$B$14="Y",'Cost Margin'!$J23=""),'Cost Margin'!$B$8,'Cost Margin'!$J23),H$5),0,IFERROR(NETWORKDAYS(MAX(IF(OR('Cost Margin'!$B$14="Y",'Cost Margin'!$J23=""),'Cost Margin'!$B$8,'Cost Margin'!$J23),H$5),MIN(IF(OR('Cost Margin'!$B$14="Y",'Cost Margin'!$K23=""),'Cost Margin'!$B$9,'Cost Margin'!$K23),H$6),INDEX(Settings!$A$35:$D$74,0,MATCH('Cost Margin'!$C23,Settings!$A$34:$D$34,0))),NETWORKDAYS(MAX(IF(OR('Cost Margin'!$B$14="Y",'Cost Margin'!$J23=""),'Cost Margin'!$B$8,'Cost Margin'!$J23),H$5),MIN(IF(OR('Cost Margin'!$B$14="Y",'Cost Margin'!$K23=""),'Cost Margin'!$B$9,'Cost Margin'!$K23),H$6)))))</f>
        <v>0</v>
      </c>
      <c r="I15" s="35" t="n">
        <f aca="false">IF(OR(I$5="",'Cost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Margin'!$K23),I$6)&lt;MAX(IF(OR('Cost Margin'!$B$14="Y",'Cost Margin'!$J23=""),'Cost Margin'!$B$8,'Cost Margin'!$J23),I$5),0,IFERROR(NETWORKDAYS(MAX(IF(OR('Cost Margin'!$B$14="Y",'Cost Margin'!$J23=""),'Cost Margin'!$B$8,'Cost Margin'!$J23),I$5),MIN(IF(OR('Cost Margin'!$B$14="Y",'Cost Margin'!$K23=""),'Cost Margin'!$B$9,'Cost Margin'!$K23),I$6),INDEX(Settings!$A$35:$D$74,0,MATCH('Cost Margin'!$C23,Settings!$A$34:$D$34,0))),NETWORKDAYS(MAX(IF(OR('Cost Margin'!$B$14="Y",'Cost Margin'!$J23=""),'Cost Margin'!$B$8,'Cost Margin'!$J23),I$5),MIN(IF(OR('Cost Margin'!$B$14="Y",'Cost Margin'!$K23=""),'Cost Margin'!$B$9,'Cost Margin'!$K23),I$6)))))</f>
        <v>0</v>
      </c>
      <c r="J15" s="35" t="n">
        <f aca="false">IF(OR(J$5="",'Cost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Margin'!$K23),J$6)&lt;MAX(IF(OR('Cost Margin'!$B$14="Y",'Cost Margin'!$J23=""),'Cost Margin'!$B$8,'Cost Margin'!$J23),J$5),0,IFERROR(NETWORKDAYS(MAX(IF(OR('Cost Margin'!$B$14="Y",'Cost Margin'!$J23=""),'Cost Margin'!$B$8,'Cost Margin'!$J23),J$5),MIN(IF(OR('Cost Margin'!$B$14="Y",'Cost Margin'!$K23=""),'Cost Margin'!$B$9,'Cost Margin'!$K23),J$6),INDEX(Settings!$A$35:$D$74,0,MATCH('Cost Margin'!$C23,Settings!$A$34:$D$34,0))),NETWORKDAYS(MAX(IF(OR('Cost Margin'!$B$14="Y",'Cost Margin'!$J23=""),'Cost Margin'!$B$8,'Cost Margin'!$J23),J$5),MIN(IF(OR('Cost Margin'!$B$14="Y",'Cost Margin'!$K23=""),'Cost Margin'!$B$9,'Cost Margin'!$K23),J$6)))))</f>
        <v>0</v>
      </c>
      <c r="K15" s="35" t="n">
        <f aca="false">IF(OR(K$5="",'Cost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Margin'!$K23),K$6)&lt;MAX(IF(OR('Cost Margin'!$B$14="Y",'Cost Margin'!$J23=""),'Cost Margin'!$B$8,'Cost Margin'!$J23),K$5),0,IFERROR(NETWORKDAYS(MAX(IF(OR('Cost Margin'!$B$14="Y",'Cost Margin'!$J23=""),'Cost Margin'!$B$8,'Cost Margin'!$J23),K$5),MIN(IF(OR('Cost Margin'!$B$14="Y",'Cost Margin'!$K23=""),'Cost Margin'!$B$9,'Cost Margin'!$K23),K$6),INDEX(Settings!$A$35:$D$74,0,MATCH('Cost Margin'!$C23,Settings!$A$34:$D$34,0))),NETWORKDAYS(MAX(IF(OR('Cost Margin'!$B$14="Y",'Cost Margin'!$J23=""),'Cost Margin'!$B$8,'Cost Margin'!$J23),K$5),MIN(IF(OR('Cost Margin'!$B$14="Y",'Cost Margin'!$K23=""),'Cost Margin'!$B$9,'Cost Margin'!$K23),K$6)))))</f>
        <v>0</v>
      </c>
      <c r="L15" s="35" t="n">
        <f aca="false">IF(OR(L$5="",'Cost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Margin'!$K23),L$6)&lt;MAX(IF(OR('Cost Margin'!$B$14="Y",'Cost Margin'!$J23=""),'Cost Margin'!$B$8,'Cost Margin'!$J23),L$5),0,IFERROR(NETWORKDAYS(MAX(IF(OR('Cost Margin'!$B$14="Y",'Cost Margin'!$J23=""),'Cost Margin'!$B$8,'Cost Margin'!$J23),L$5),MIN(IF(OR('Cost Margin'!$B$14="Y",'Cost Margin'!$K23=""),'Cost Margin'!$B$9,'Cost Margin'!$K23),L$6),INDEX(Settings!$A$35:$D$74,0,MATCH('Cost Margin'!$C23,Settings!$A$34:$D$34,0))),NETWORKDAYS(MAX(IF(OR('Cost Margin'!$B$14="Y",'Cost Margin'!$J23=""),'Cost Margin'!$B$8,'Cost Margin'!$J23),L$5),MIN(IF(OR('Cost Margin'!$B$14="Y",'Cost Margin'!$K23=""),'Cost Margin'!$B$9,'Cost Margin'!$K23),L$6)))))</f>
        <v>0</v>
      </c>
      <c r="M15" s="35" t="n">
        <f aca="false">IF(OR(M$5="",'Cost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Margin'!$K23),M$6)&lt;MAX(IF(OR('Cost Margin'!$B$14="Y",'Cost Margin'!$J23=""),'Cost Margin'!$B$8,'Cost Margin'!$J23),M$5),0,IFERROR(NETWORKDAYS(MAX(IF(OR('Cost Margin'!$B$14="Y",'Cost Margin'!$J23=""),'Cost Margin'!$B$8,'Cost Margin'!$J23),M$5),MIN(IF(OR('Cost Margin'!$B$14="Y",'Cost Margin'!$K23=""),'Cost Margin'!$B$9,'Cost Margin'!$K23),M$6),INDEX(Settings!$A$35:$D$74,0,MATCH('Cost Margin'!$C23,Settings!$A$34:$D$34,0))),NETWORKDAYS(MAX(IF(OR('Cost Margin'!$B$14="Y",'Cost Margin'!$J23=""),'Cost Margin'!$B$8,'Cost Margin'!$J23),M$5),MIN(IF(OR('Cost Margin'!$B$14="Y",'Cost Margin'!$K23=""),'Cost Margin'!$B$9,'Cost Margin'!$K23),M$6)))))</f>
        <v>0</v>
      </c>
      <c r="N15" s="35" t="n">
        <f aca="false">IF(OR(N$5="",'Cost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Margin'!$K23),N$6)&lt;MAX(IF(OR('Cost Margin'!$B$14="Y",'Cost Margin'!$J23=""),'Cost Margin'!$B$8,'Cost Margin'!$J23),N$5),0,IFERROR(NETWORKDAYS(MAX(IF(OR('Cost Margin'!$B$14="Y",'Cost Margin'!$J23=""),'Cost Margin'!$B$8,'Cost Margin'!$J23),N$5),MIN(IF(OR('Cost Margin'!$B$14="Y",'Cost Margin'!$K23=""),'Cost Margin'!$B$9,'Cost Margin'!$K23),N$6),INDEX(Settings!$A$35:$D$74,0,MATCH('Cost Margin'!$C23,Settings!$A$34:$D$34,0))),NETWORKDAYS(MAX(IF(OR('Cost Margin'!$B$14="Y",'Cost Margin'!$J23=""),'Cost Margin'!$B$8,'Cost Margin'!$J23),N$5),MIN(IF(OR('Cost Margin'!$B$14="Y",'Cost Margin'!$K23=""),'Cost Margin'!$B$9,'Cost Margin'!$K23),N$6)))))</f>
        <v>0</v>
      </c>
      <c r="O15" s="35" t="n">
        <f aca="false">IF(OR(O$5="",'Cost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Margin'!$K23),O$6)&lt;MAX(IF(OR('Cost Margin'!$B$14="Y",'Cost Margin'!$J23=""),'Cost Margin'!$B$8,'Cost Margin'!$J23),O$5),0,IFERROR(NETWORKDAYS(MAX(IF(OR('Cost Margin'!$B$14="Y",'Cost Margin'!$J23=""),'Cost Margin'!$B$8,'Cost Margin'!$J23),O$5),MIN(IF(OR('Cost Margin'!$B$14="Y",'Cost Margin'!$K23=""),'Cost Margin'!$B$9,'Cost Margin'!$K23),O$6),INDEX(Settings!$A$35:$D$74,0,MATCH('Cost Margin'!$C23,Settings!$A$34:$D$34,0))),NETWORKDAYS(MAX(IF(OR('Cost Margin'!$B$14="Y",'Cost Margin'!$J23=""),'Cost Margin'!$B$8,'Cost Margin'!$J23),O$5),MIN(IF(OR('Cost Margin'!$B$14="Y",'Cost Margin'!$K23=""),'Cost Margin'!$B$9,'Cost Margin'!$K23),O$6)))))</f>
        <v>0</v>
      </c>
      <c r="P15" s="35" t="n">
        <f aca="false">IF(OR(P$5="",'Cost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Margin'!$K23),P$6)&lt;MAX(IF(OR('Cost Margin'!$B$14="Y",'Cost Margin'!$J23=""),'Cost Margin'!$B$8,'Cost Margin'!$J23),P$5),0,IFERROR(NETWORKDAYS(MAX(IF(OR('Cost Margin'!$B$14="Y",'Cost Margin'!$J23=""),'Cost Margin'!$B$8,'Cost Margin'!$J23),P$5),MIN(IF(OR('Cost Margin'!$B$14="Y",'Cost Margin'!$K23=""),'Cost Margin'!$B$9,'Cost Margin'!$K23),P$6),INDEX(Settings!$A$35:$D$74,0,MATCH('Cost Margin'!$C23,Settings!$A$34:$D$34,0))),NETWORKDAYS(MAX(IF(OR('Cost Margin'!$B$14="Y",'Cost Margin'!$J23=""),'Cost Margin'!$B$8,'Cost Margin'!$J23),P$5),MIN(IF(OR('Cost Margin'!$B$14="Y",'Cost Margin'!$K23=""),'Cost Margin'!$B$9,'Cost Margin'!$K23),P$6)))))</f>
        <v>0</v>
      </c>
      <c r="Q15" s="35" t="n">
        <f aca="false">IF(OR(Q$5="",'Cost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Margin'!$K23),Q$6)&lt;MAX(IF(OR('Cost Margin'!$B$14="Y",'Cost Margin'!$J23=""),'Cost Margin'!$B$8,'Cost Margin'!$J23),Q$5),0,IFERROR(NETWORKDAYS(MAX(IF(OR('Cost Margin'!$B$14="Y",'Cost Margin'!$J23=""),'Cost Margin'!$B$8,'Cost Margin'!$J23),Q$5),MIN(IF(OR('Cost Margin'!$B$14="Y",'Cost Margin'!$K23=""),'Cost Margin'!$B$9,'Cost Margin'!$K23),Q$6),INDEX(Settings!$A$35:$D$74,0,MATCH('Cost Margin'!$C23,Settings!$A$34:$D$34,0))),NETWORKDAYS(MAX(IF(OR('Cost Margin'!$B$14="Y",'Cost Margin'!$J23=""),'Cost Margin'!$B$8,'Cost Margin'!$J23),Q$5),MIN(IF(OR('Cost Margin'!$B$14="Y",'Cost Margin'!$K23=""),'Cost Margin'!$B$9,'Cost Margin'!$K23),Q$6)))))</f>
        <v>0</v>
      </c>
      <c r="R15" s="35" t="n">
        <f aca="false">IF(OR(R$5="",'Cost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Margin'!$K23),R$6)&lt;MAX(IF(OR('Cost Margin'!$B$14="Y",'Cost Margin'!$J23=""),'Cost Margin'!$B$8,'Cost Margin'!$J23),R$5),0,IFERROR(NETWORKDAYS(MAX(IF(OR('Cost Margin'!$B$14="Y",'Cost Margin'!$J23=""),'Cost Margin'!$B$8,'Cost Margin'!$J23),R$5),MIN(IF(OR('Cost Margin'!$B$14="Y",'Cost Margin'!$K23=""),'Cost Margin'!$B$9,'Cost Margin'!$K23),R$6),INDEX(Settings!$A$35:$D$74,0,MATCH('Cost Margin'!$C23,Settings!$A$34:$D$34,0))),NETWORKDAYS(MAX(IF(OR('Cost Margin'!$B$14="Y",'Cost Margin'!$J23=""),'Cost Margin'!$B$8,'Cost Margin'!$J23),R$5),MIN(IF(OR('Cost Margin'!$B$14="Y",'Cost Margin'!$K23=""),'Cost Margin'!$B$9,'Cost Margin'!$K23),R$6)))))</f>
        <v>0</v>
      </c>
      <c r="S15" s="35" t="n">
        <f aca="false">IF(OR(S$5="",'Cost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Margin'!$K23),S$6)&lt;MAX(IF(OR('Cost Margin'!$B$14="Y",'Cost Margin'!$J23=""),'Cost Margin'!$B$8,'Cost Margin'!$J23),S$5),0,IFERROR(NETWORKDAYS(MAX(IF(OR('Cost Margin'!$B$14="Y",'Cost Margin'!$J23=""),'Cost Margin'!$B$8,'Cost Margin'!$J23),S$5),MIN(IF(OR('Cost Margin'!$B$14="Y",'Cost Margin'!$K23=""),'Cost Margin'!$B$9,'Cost Margin'!$K23),S$6),INDEX(Settings!$A$35:$D$74,0,MATCH('Cost Margin'!$C23,Settings!$A$34:$D$34,0))),NETWORKDAYS(MAX(IF(OR('Cost Margin'!$B$14="Y",'Cost Margin'!$J23=""),'Cost Margin'!$B$8,'Cost Margin'!$J23),S$5),MIN(IF(OR('Cost Margin'!$B$14="Y",'Cost Margin'!$K23=""),'Cost Margin'!$B$9,'Cost Margin'!$K23),S$6)))))</f>
        <v>0</v>
      </c>
      <c r="T15" s="35" t="n">
        <f aca="false">IF(OR(T$5="",'Cost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Margin'!$K23),T$6)&lt;MAX(IF(OR('Cost Margin'!$B$14="Y",'Cost Margin'!$J23=""),'Cost Margin'!$B$8,'Cost Margin'!$J23),T$5),0,IFERROR(NETWORKDAYS(MAX(IF(OR('Cost Margin'!$B$14="Y",'Cost Margin'!$J23=""),'Cost Margin'!$B$8,'Cost Margin'!$J23),T$5),MIN(IF(OR('Cost Margin'!$B$14="Y",'Cost Margin'!$K23=""),'Cost Margin'!$B$9,'Cost Margin'!$K23),T$6),INDEX(Settings!$A$35:$D$74,0,MATCH('Cost Margin'!$C23,Settings!$A$34:$D$34,0))),NETWORKDAYS(MAX(IF(OR('Cost Margin'!$B$14="Y",'Cost Margin'!$J23=""),'Cost Margin'!$B$8,'Cost Margin'!$J23),T$5),MIN(IF(OR('Cost Margin'!$B$14="Y",'Cost Margin'!$K23=""),'Cost Margin'!$B$9,'Cost Margin'!$K23),T$6)))))</f>
        <v>0</v>
      </c>
      <c r="U15" s="35" t="n">
        <f aca="false">IF(OR(U$5="",'Cost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Margin'!$K23),U$6)&lt;MAX(IF(OR('Cost Margin'!$B$14="Y",'Cost Margin'!$J23=""),'Cost Margin'!$B$8,'Cost Margin'!$J23),U$5),0,IFERROR(NETWORKDAYS(MAX(IF(OR('Cost Margin'!$B$14="Y",'Cost Margin'!$J23=""),'Cost Margin'!$B$8,'Cost Margin'!$J23),U$5),MIN(IF(OR('Cost Margin'!$B$14="Y",'Cost Margin'!$K23=""),'Cost Margin'!$B$9,'Cost Margin'!$K23),U$6),INDEX(Settings!$A$35:$D$74,0,MATCH('Cost Margin'!$C23,Settings!$A$34:$D$34,0))),NETWORKDAYS(MAX(IF(OR('Cost Margin'!$B$14="Y",'Cost Margin'!$J23=""),'Cost Margin'!$B$8,'Cost Margin'!$J23),U$5),MIN(IF(OR('Cost Margin'!$B$14="Y",'Cost Margin'!$K23=""),'Cost Margin'!$B$9,'Cost Margin'!$K23),U$6)))))</f>
        <v>0</v>
      </c>
      <c r="V15" s="35" t="n">
        <f aca="false">IF(OR(V$5="",'Cost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Margin'!$K23),V$6)&lt;MAX(IF(OR('Cost Margin'!$B$14="Y",'Cost Margin'!$J23=""),'Cost Margin'!$B$8,'Cost Margin'!$J23),V$5),0,IFERROR(NETWORKDAYS(MAX(IF(OR('Cost Margin'!$B$14="Y",'Cost Margin'!$J23=""),'Cost Margin'!$B$8,'Cost Margin'!$J23),V$5),MIN(IF(OR('Cost Margin'!$B$14="Y",'Cost Margin'!$K23=""),'Cost Margin'!$B$9,'Cost Margin'!$K23),V$6),INDEX(Settings!$A$35:$D$74,0,MATCH('Cost Margin'!$C23,Settings!$A$34:$D$34,0))),NETWORKDAYS(MAX(IF(OR('Cost Margin'!$B$14="Y",'Cost Margin'!$J23=""),'Cost Margin'!$B$8,'Cost Margin'!$J23),V$5),MIN(IF(OR('Cost Margin'!$B$14="Y",'Cost Margin'!$K23=""),'Cost Margin'!$B$9,'Cost Margin'!$K23),V$6)))))</f>
        <v>0</v>
      </c>
      <c r="W15" s="35" t="n">
        <f aca="false">IF(OR(W$5="",'Cost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Margin'!$K23),W$6)&lt;MAX(IF(OR('Cost Margin'!$B$14="Y",'Cost Margin'!$J23=""),'Cost Margin'!$B$8,'Cost Margin'!$J23),W$5),0,IFERROR(NETWORKDAYS(MAX(IF(OR('Cost Margin'!$B$14="Y",'Cost Margin'!$J23=""),'Cost Margin'!$B$8,'Cost Margin'!$J23),W$5),MIN(IF(OR('Cost Margin'!$B$14="Y",'Cost Margin'!$K23=""),'Cost Margin'!$B$9,'Cost Margin'!$K23),W$6),INDEX(Settings!$A$35:$D$74,0,MATCH('Cost Margin'!$C23,Settings!$A$34:$D$34,0))),NETWORKDAYS(MAX(IF(OR('Cost Margin'!$B$14="Y",'Cost Margin'!$J23=""),'Cost Margin'!$B$8,'Cost Margin'!$J23),W$5),MIN(IF(OR('Cost Margin'!$B$14="Y",'Cost Margin'!$K23=""),'Cost Margin'!$B$9,'Cost Margin'!$K23),W$6)))))</f>
        <v>0</v>
      </c>
      <c r="X15" s="35" t="n">
        <f aca="false">IF(OR(X$5="",'Cost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Margin'!$K23),X$6)&lt;MAX(IF(OR('Cost Margin'!$B$14="Y",'Cost Margin'!$J23=""),'Cost Margin'!$B$8,'Cost Margin'!$J23),X$5),0,IFERROR(NETWORKDAYS(MAX(IF(OR('Cost Margin'!$B$14="Y",'Cost Margin'!$J23=""),'Cost Margin'!$B$8,'Cost Margin'!$J23),X$5),MIN(IF(OR('Cost Margin'!$B$14="Y",'Cost Margin'!$K23=""),'Cost Margin'!$B$9,'Cost Margin'!$K23),X$6),INDEX(Settings!$A$35:$D$74,0,MATCH('Cost Margin'!$C23,Settings!$A$34:$D$34,0))),NETWORKDAYS(MAX(IF(OR('Cost Margin'!$B$14="Y",'Cost Margin'!$J23=""),'Cost Margin'!$B$8,'Cost Margin'!$J23),X$5),MIN(IF(OR('Cost Margin'!$B$14="Y",'Cost Margin'!$K23=""),'Cost Margin'!$B$9,'Cost Margin'!$K23),X$6)))))</f>
        <v>0</v>
      </c>
      <c r="Y15" s="35" t="n">
        <f aca="false">IF(OR(Y$5="",'Cost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Margin'!$K23),Y$6)&lt;MAX(IF(OR('Cost Margin'!$B$14="Y",'Cost Margin'!$J23=""),'Cost Margin'!$B$8,'Cost Margin'!$J23),Y$5),0,IFERROR(NETWORKDAYS(MAX(IF(OR('Cost Margin'!$B$14="Y",'Cost Margin'!$J23=""),'Cost Margin'!$B$8,'Cost Margin'!$J23),Y$5),MIN(IF(OR('Cost Margin'!$B$14="Y",'Cost Margin'!$K23=""),'Cost Margin'!$B$9,'Cost Margin'!$K23),Y$6),INDEX(Settings!$A$35:$D$74,0,MATCH('Cost Margin'!$C23,Settings!$A$34:$D$34,0))),NETWORKDAYS(MAX(IF(OR('Cost Margin'!$B$14="Y",'Cost Margin'!$J23=""),'Cost Margin'!$B$8,'Cost Margin'!$J23),Y$5),MIN(IF(OR('Cost Margin'!$B$14="Y",'Cost Margin'!$K23=""),'Cost Margin'!$B$9,'Cost Margin'!$K23),Y$6)))))</f>
        <v>0</v>
      </c>
      <c r="Z15" s="35" t="n">
        <f aca="false">IF(OR(Z$5="",'Cost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Margin'!$K23),Z$6)&lt;MAX(IF(OR('Cost Margin'!$B$14="Y",'Cost Margin'!$J23=""),'Cost Margin'!$B$8,'Cost Margin'!$J23),Z$5),0,IFERROR(NETWORKDAYS(MAX(IF(OR('Cost Margin'!$B$14="Y",'Cost Margin'!$J23=""),'Cost Margin'!$B$8,'Cost Margin'!$J23),Z$5),MIN(IF(OR('Cost Margin'!$B$14="Y",'Cost Margin'!$K23=""),'Cost Margin'!$B$9,'Cost Margin'!$K23),Z$6),INDEX(Settings!$A$35:$D$74,0,MATCH('Cost Margin'!$C23,Settings!$A$34:$D$34,0))),NETWORKDAYS(MAX(IF(OR('Cost Margin'!$B$14="Y",'Cost Margin'!$J23=""),'Cost Margin'!$B$8,'Cost Margin'!$J23),Z$5),MIN(IF(OR('Cost Margin'!$B$14="Y",'Cost Margin'!$K23=""),'Cost Margin'!$B$9,'Cost Margin'!$K23),Z$6)))))</f>
        <v>0</v>
      </c>
      <c r="AB15" s="34" t="str">
        <f aca="false">IF('Cost Margin'!A23="","",IF('Cost Margin'!E23="","(unassigned)",'Cost Margin'!E23))</f>
        <v/>
      </c>
    </row>
    <row r="16" customFormat="false" ht="15" hidden="false" customHeight="false" outlineLevel="0" collapsed="false">
      <c r="A16" s="0" t="n">
        <v>8</v>
      </c>
      <c r="B16" s="34" t="str">
        <f aca="false">IF('Cost Margin'!A24="","",'Cost Margin'!A24&amp;IF('Cost Margin'!E24="",""," · "&amp;'Cost Margin'!E24))</f>
        <v/>
      </c>
      <c r="C16" s="35" t="n">
        <f aca="false">IF(OR(C$5="",'Cost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Margin'!$K24),C$6)&lt;MAX(IF(OR('Cost Margin'!$B$14="Y",'Cost Margin'!$J24=""),'Cost Margin'!$B$8,'Cost Margin'!$J24),C$5),0,IFERROR(NETWORKDAYS(MAX(IF(OR('Cost Margin'!$B$14="Y",'Cost Margin'!$J24=""),'Cost Margin'!$B$8,'Cost Margin'!$J24),C$5),MIN(IF(OR('Cost Margin'!$B$14="Y",'Cost Margin'!$K24=""),'Cost Margin'!$B$9,'Cost Margin'!$K24),C$6),INDEX(Settings!$A$35:$D$74,0,MATCH('Cost Margin'!$C24,Settings!$A$34:$D$34,0))),NETWORKDAYS(MAX(IF(OR('Cost Margin'!$B$14="Y",'Cost Margin'!$J24=""),'Cost Margin'!$B$8,'Cost Margin'!$J24),C$5),MIN(IF(OR('Cost Margin'!$B$14="Y",'Cost Margin'!$K24=""),'Cost Margin'!$B$9,'Cost Margin'!$K24),C$6)))))</f>
        <v>0</v>
      </c>
      <c r="D16" s="35" t="n">
        <f aca="false">IF(OR(D$5="",'Cost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Margin'!$K24),D$6)&lt;MAX(IF(OR('Cost Margin'!$B$14="Y",'Cost Margin'!$J24=""),'Cost Margin'!$B$8,'Cost Margin'!$J24),D$5),0,IFERROR(NETWORKDAYS(MAX(IF(OR('Cost Margin'!$B$14="Y",'Cost Margin'!$J24=""),'Cost Margin'!$B$8,'Cost Margin'!$J24),D$5),MIN(IF(OR('Cost Margin'!$B$14="Y",'Cost Margin'!$K24=""),'Cost Margin'!$B$9,'Cost Margin'!$K24),D$6),INDEX(Settings!$A$35:$D$74,0,MATCH('Cost Margin'!$C24,Settings!$A$34:$D$34,0))),NETWORKDAYS(MAX(IF(OR('Cost Margin'!$B$14="Y",'Cost Margin'!$J24=""),'Cost Margin'!$B$8,'Cost Margin'!$J24),D$5),MIN(IF(OR('Cost Margin'!$B$14="Y",'Cost Margin'!$K24=""),'Cost Margin'!$B$9,'Cost Margin'!$K24),D$6)))))</f>
        <v>0</v>
      </c>
      <c r="E16" s="35" t="n">
        <f aca="false">IF(OR(E$5="",'Cost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Margin'!$K24),E$6)&lt;MAX(IF(OR('Cost Margin'!$B$14="Y",'Cost Margin'!$J24=""),'Cost Margin'!$B$8,'Cost Margin'!$J24),E$5),0,IFERROR(NETWORKDAYS(MAX(IF(OR('Cost Margin'!$B$14="Y",'Cost Margin'!$J24=""),'Cost Margin'!$B$8,'Cost Margin'!$J24),E$5),MIN(IF(OR('Cost Margin'!$B$14="Y",'Cost Margin'!$K24=""),'Cost Margin'!$B$9,'Cost Margin'!$K24),E$6),INDEX(Settings!$A$35:$D$74,0,MATCH('Cost Margin'!$C24,Settings!$A$34:$D$34,0))),NETWORKDAYS(MAX(IF(OR('Cost Margin'!$B$14="Y",'Cost Margin'!$J24=""),'Cost Margin'!$B$8,'Cost Margin'!$J24),E$5),MIN(IF(OR('Cost Margin'!$B$14="Y",'Cost Margin'!$K24=""),'Cost Margin'!$B$9,'Cost Margin'!$K24),E$6)))))</f>
        <v>0</v>
      </c>
      <c r="F16" s="35" t="n">
        <f aca="false">IF(OR(F$5="",'Cost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Margin'!$K24),F$6)&lt;MAX(IF(OR('Cost Margin'!$B$14="Y",'Cost Margin'!$J24=""),'Cost Margin'!$B$8,'Cost Margin'!$J24),F$5),0,IFERROR(NETWORKDAYS(MAX(IF(OR('Cost Margin'!$B$14="Y",'Cost Margin'!$J24=""),'Cost Margin'!$B$8,'Cost Margin'!$J24),F$5),MIN(IF(OR('Cost Margin'!$B$14="Y",'Cost Margin'!$K24=""),'Cost Margin'!$B$9,'Cost Margin'!$K24),F$6),INDEX(Settings!$A$35:$D$74,0,MATCH('Cost Margin'!$C24,Settings!$A$34:$D$34,0))),NETWORKDAYS(MAX(IF(OR('Cost Margin'!$B$14="Y",'Cost Margin'!$J24=""),'Cost Margin'!$B$8,'Cost Margin'!$J24),F$5),MIN(IF(OR('Cost Margin'!$B$14="Y",'Cost Margin'!$K24=""),'Cost Margin'!$B$9,'Cost Margin'!$K24),F$6)))))</f>
        <v>0</v>
      </c>
      <c r="G16" s="35" t="n">
        <f aca="false">IF(OR(G$5="",'Cost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Margin'!$K24),G$6)&lt;MAX(IF(OR('Cost Margin'!$B$14="Y",'Cost Margin'!$J24=""),'Cost Margin'!$B$8,'Cost Margin'!$J24),G$5),0,IFERROR(NETWORKDAYS(MAX(IF(OR('Cost Margin'!$B$14="Y",'Cost Margin'!$J24=""),'Cost Margin'!$B$8,'Cost Margin'!$J24),G$5),MIN(IF(OR('Cost Margin'!$B$14="Y",'Cost Margin'!$K24=""),'Cost Margin'!$B$9,'Cost Margin'!$K24),G$6),INDEX(Settings!$A$35:$D$74,0,MATCH('Cost Margin'!$C24,Settings!$A$34:$D$34,0))),NETWORKDAYS(MAX(IF(OR('Cost Margin'!$B$14="Y",'Cost Margin'!$J24=""),'Cost Margin'!$B$8,'Cost Margin'!$J24),G$5),MIN(IF(OR('Cost Margin'!$B$14="Y",'Cost Margin'!$K24=""),'Cost Margin'!$B$9,'Cost Margin'!$K24),G$6)))))</f>
        <v>0</v>
      </c>
      <c r="H16" s="35" t="n">
        <f aca="false">IF(OR(H$5="",'Cost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Margin'!$K24),H$6)&lt;MAX(IF(OR('Cost Margin'!$B$14="Y",'Cost Margin'!$J24=""),'Cost Margin'!$B$8,'Cost Margin'!$J24),H$5),0,IFERROR(NETWORKDAYS(MAX(IF(OR('Cost Margin'!$B$14="Y",'Cost Margin'!$J24=""),'Cost Margin'!$B$8,'Cost Margin'!$J24),H$5),MIN(IF(OR('Cost Margin'!$B$14="Y",'Cost Margin'!$K24=""),'Cost Margin'!$B$9,'Cost Margin'!$K24),H$6),INDEX(Settings!$A$35:$D$74,0,MATCH('Cost Margin'!$C24,Settings!$A$34:$D$34,0))),NETWORKDAYS(MAX(IF(OR('Cost Margin'!$B$14="Y",'Cost Margin'!$J24=""),'Cost Margin'!$B$8,'Cost Margin'!$J24),H$5),MIN(IF(OR('Cost Margin'!$B$14="Y",'Cost Margin'!$K24=""),'Cost Margin'!$B$9,'Cost Margin'!$K24),H$6)))))</f>
        <v>0</v>
      </c>
      <c r="I16" s="35" t="n">
        <f aca="false">IF(OR(I$5="",'Cost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Margin'!$K24),I$6)&lt;MAX(IF(OR('Cost Margin'!$B$14="Y",'Cost Margin'!$J24=""),'Cost Margin'!$B$8,'Cost Margin'!$J24),I$5),0,IFERROR(NETWORKDAYS(MAX(IF(OR('Cost Margin'!$B$14="Y",'Cost Margin'!$J24=""),'Cost Margin'!$B$8,'Cost Margin'!$J24),I$5),MIN(IF(OR('Cost Margin'!$B$14="Y",'Cost Margin'!$K24=""),'Cost Margin'!$B$9,'Cost Margin'!$K24),I$6),INDEX(Settings!$A$35:$D$74,0,MATCH('Cost Margin'!$C24,Settings!$A$34:$D$34,0))),NETWORKDAYS(MAX(IF(OR('Cost Margin'!$B$14="Y",'Cost Margin'!$J24=""),'Cost Margin'!$B$8,'Cost Margin'!$J24),I$5),MIN(IF(OR('Cost Margin'!$B$14="Y",'Cost Margin'!$K24=""),'Cost Margin'!$B$9,'Cost Margin'!$K24),I$6)))))</f>
        <v>0</v>
      </c>
      <c r="J16" s="35" t="n">
        <f aca="false">IF(OR(J$5="",'Cost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Margin'!$K24),J$6)&lt;MAX(IF(OR('Cost Margin'!$B$14="Y",'Cost Margin'!$J24=""),'Cost Margin'!$B$8,'Cost Margin'!$J24),J$5),0,IFERROR(NETWORKDAYS(MAX(IF(OR('Cost Margin'!$B$14="Y",'Cost Margin'!$J24=""),'Cost Margin'!$B$8,'Cost Margin'!$J24),J$5),MIN(IF(OR('Cost Margin'!$B$14="Y",'Cost Margin'!$K24=""),'Cost Margin'!$B$9,'Cost Margin'!$K24),J$6),INDEX(Settings!$A$35:$D$74,0,MATCH('Cost Margin'!$C24,Settings!$A$34:$D$34,0))),NETWORKDAYS(MAX(IF(OR('Cost Margin'!$B$14="Y",'Cost Margin'!$J24=""),'Cost Margin'!$B$8,'Cost Margin'!$J24),J$5),MIN(IF(OR('Cost Margin'!$B$14="Y",'Cost Margin'!$K24=""),'Cost Margin'!$B$9,'Cost Margin'!$K24),J$6)))))</f>
        <v>0</v>
      </c>
      <c r="K16" s="35" t="n">
        <f aca="false">IF(OR(K$5="",'Cost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Margin'!$K24),K$6)&lt;MAX(IF(OR('Cost Margin'!$B$14="Y",'Cost Margin'!$J24=""),'Cost Margin'!$B$8,'Cost Margin'!$J24),K$5),0,IFERROR(NETWORKDAYS(MAX(IF(OR('Cost Margin'!$B$14="Y",'Cost Margin'!$J24=""),'Cost Margin'!$B$8,'Cost Margin'!$J24),K$5),MIN(IF(OR('Cost Margin'!$B$14="Y",'Cost Margin'!$K24=""),'Cost Margin'!$B$9,'Cost Margin'!$K24),K$6),INDEX(Settings!$A$35:$D$74,0,MATCH('Cost Margin'!$C24,Settings!$A$34:$D$34,0))),NETWORKDAYS(MAX(IF(OR('Cost Margin'!$B$14="Y",'Cost Margin'!$J24=""),'Cost Margin'!$B$8,'Cost Margin'!$J24),K$5),MIN(IF(OR('Cost Margin'!$B$14="Y",'Cost Margin'!$K24=""),'Cost Margin'!$B$9,'Cost Margin'!$K24),K$6)))))</f>
        <v>0</v>
      </c>
      <c r="L16" s="35" t="n">
        <f aca="false">IF(OR(L$5="",'Cost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Margin'!$K24),L$6)&lt;MAX(IF(OR('Cost Margin'!$B$14="Y",'Cost Margin'!$J24=""),'Cost Margin'!$B$8,'Cost Margin'!$J24),L$5),0,IFERROR(NETWORKDAYS(MAX(IF(OR('Cost Margin'!$B$14="Y",'Cost Margin'!$J24=""),'Cost Margin'!$B$8,'Cost Margin'!$J24),L$5),MIN(IF(OR('Cost Margin'!$B$14="Y",'Cost Margin'!$K24=""),'Cost Margin'!$B$9,'Cost Margin'!$K24),L$6),INDEX(Settings!$A$35:$D$74,0,MATCH('Cost Margin'!$C24,Settings!$A$34:$D$34,0))),NETWORKDAYS(MAX(IF(OR('Cost Margin'!$B$14="Y",'Cost Margin'!$J24=""),'Cost Margin'!$B$8,'Cost Margin'!$J24),L$5),MIN(IF(OR('Cost Margin'!$B$14="Y",'Cost Margin'!$K24=""),'Cost Margin'!$B$9,'Cost Margin'!$K24),L$6)))))</f>
        <v>0</v>
      </c>
      <c r="M16" s="35" t="n">
        <f aca="false">IF(OR(M$5="",'Cost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Margin'!$K24),M$6)&lt;MAX(IF(OR('Cost Margin'!$B$14="Y",'Cost Margin'!$J24=""),'Cost Margin'!$B$8,'Cost Margin'!$J24),M$5),0,IFERROR(NETWORKDAYS(MAX(IF(OR('Cost Margin'!$B$14="Y",'Cost Margin'!$J24=""),'Cost Margin'!$B$8,'Cost Margin'!$J24),M$5),MIN(IF(OR('Cost Margin'!$B$14="Y",'Cost Margin'!$K24=""),'Cost Margin'!$B$9,'Cost Margin'!$K24),M$6),INDEX(Settings!$A$35:$D$74,0,MATCH('Cost Margin'!$C24,Settings!$A$34:$D$34,0))),NETWORKDAYS(MAX(IF(OR('Cost Margin'!$B$14="Y",'Cost Margin'!$J24=""),'Cost Margin'!$B$8,'Cost Margin'!$J24),M$5),MIN(IF(OR('Cost Margin'!$B$14="Y",'Cost Margin'!$K24=""),'Cost Margin'!$B$9,'Cost Margin'!$K24),M$6)))))</f>
        <v>0</v>
      </c>
      <c r="N16" s="35" t="n">
        <f aca="false">IF(OR(N$5="",'Cost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Margin'!$K24),N$6)&lt;MAX(IF(OR('Cost Margin'!$B$14="Y",'Cost Margin'!$J24=""),'Cost Margin'!$B$8,'Cost Margin'!$J24),N$5),0,IFERROR(NETWORKDAYS(MAX(IF(OR('Cost Margin'!$B$14="Y",'Cost Margin'!$J24=""),'Cost Margin'!$B$8,'Cost Margin'!$J24),N$5),MIN(IF(OR('Cost Margin'!$B$14="Y",'Cost Margin'!$K24=""),'Cost Margin'!$B$9,'Cost Margin'!$K24),N$6),INDEX(Settings!$A$35:$D$74,0,MATCH('Cost Margin'!$C24,Settings!$A$34:$D$34,0))),NETWORKDAYS(MAX(IF(OR('Cost Margin'!$B$14="Y",'Cost Margin'!$J24=""),'Cost Margin'!$B$8,'Cost Margin'!$J24),N$5),MIN(IF(OR('Cost Margin'!$B$14="Y",'Cost Margin'!$K24=""),'Cost Margin'!$B$9,'Cost Margin'!$K24),N$6)))))</f>
        <v>0</v>
      </c>
      <c r="O16" s="35" t="n">
        <f aca="false">IF(OR(O$5="",'Cost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Margin'!$K24),O$6)&lt;MAX(IF(OR('Cost Margin'!$B$14="Y",'Cost Margin'!$J24=""),'Cost Margin'!$B$8,'Cost Margin'!$J24),O$5),0,IFERROR(NETWORKDAYS(MAX(IF(OR('Cost Margin'!$B$14="Y",'Cost Margin'!$J24=""),'Cost Margin'!$B$8,'Cost Margin'!$J24),O$5),MIN(IF(OR('Cost Margin'!$B$14="Y",'Cost Margin'!$K24=""),'Cost Margin'!$B$9,'Cost Margin'!$K24),O$6),INDEX(Settings!$A$35:$D$74,0,MATCH('Cost Margin'!$C24,Settings!$A$34:$D$34,0))),NETWORKDAYS(MAX(IF(OR('Cost Margin'!$B$14="Y",'Cost Margin'!$J24=""),'Cost Margin'!$B$8,'Cost Margin'!$J24),O$5),MIN(IF(OR('Cost Margin'!$B$14="Y",'Cost Margin'!$K24=""),'Cost Margin'!$B$9,'Cost Margin'!$K24),O$6)))))</f>
        <v>0</v>
      </c>
      <c r="P16" s="35" t="n">
        <f aca="false">IF(OR(P$5="",'Cost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Margin'!$K24),P$6)&lt;MAX(IF(OR('Cost Margin'!$B$14="Y",'Cost Margin'!$J24=""),'Cost Margin'!$B$8,'Cost Margin'!$J24),P$5),0,IFERROR(NETWORKDAYS(MAX(IF(OR('Cost Margin'!$B$14="Y",'Cost Margin'!$J24=""),'Cost Margin'!$B$8,'Cost Margin'!$J24),P$5),MIN(IF(OR('Cost Margin'!$B$14="Y",'Cost Margin'!$K24=""),'Cost Margin'!$B$9,'Cost Margin'!$K24),P$6),INDEX(Settings!$A$35:$D$74,0,MATCH('Cost Margin'!$C24,Settings!$A$34:$D$34,0))),NETWORKDAYS(MAX(IF(OR('Cost Margin'!$B$14="Y",'Cost Margin'!$J24=""),'Cost Margin'!$B$8,'Cost Margin'!$J24),P$5),MIN(IF(OR('Cost Margin'!$B$14="Y",'Cost Margin'!$K24=""),'Cost Margin'!$B$9,'Cost Margin'!$K24),P$6)))))</f>
        <v>0</v>
      </c>
      <c r="Q16" s="35" t="n">
        <f aca="false">IF(OR(Q$5="",'Cost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Margin'!$K24),Q$6)&lt;MAX(IF(OR('Cost Margin'!$B$14="Y",'Cost Margin'!$J24=""),'Cost Margin'!$B$8,'Cost Margin'!$J24),Q$5),0,IFERROR(NETWORKDAYS(MAX(IF(OR('Cost Margin'!$B$14="Y",'Cost Margin'!$J24=""),'Cost Margin'!$B$8,'Cost Margin'!$J24),Q$5),MIN(IF(OR('Cost Margin'!$B$14="Y",'Cost Margin'!$K24=""),'Cost Margin'!$B$9,'Cost Margin'!$K24),Q$6),INDEX(Settings!$A$35:$D$74,0,MATCH('Cost Margin'!$C24,Settings!$A$34:$D$34,0))),NETWORKDAYS(MAX(IF(OR('Cost Margin'!$B$14="Y",'Cost Margin'!$J24=""),'Cost Margin'!$B$8,'Cost Margin'!$J24),Q$5),MIN(IF(OR('Cost Margin'!$B$14="Y",'Cost Margin'!$K24=""),'Cost Margin'!$B$9,'Cost Margin'!$K24),Q$6)))))</f>
        <v>0</v>
      </c>
      <c r="R16" s="35" t="n">
        <f aca="false">IF(OR(R$5="",'Cost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Margin'!$K24),R$6)&lt;MAX(IF(OR('Cost Margin'!$B$14="Y",'Cost Margin'!$J24=""),'Cost Margin'!$B$8,'Cost Margin'!$J24),R$5),0,IFERROR(NETWORKDAYS(MAX(IF(OR('Cost Margin'!$B$14="Y",'Cost Margin'!$J24=""),'Cost Margin'!$B$8,'Cost Margin'!$J24),R$5),MIN(IF(OR('Cost Margin'!$B$14="Y",'Cost Margin'!$K24=""),'Cost Margin'!$B$9,'Cost Margin'!$K24),R$6),INDEX(Settings!$A$35:$D$74,0,MATCH('Cost Margin'!$C24,Settings!$A$34:$D$34,0))),NETWORKDAYS(MAX(IF(OR('Cost Margin'!$B$14="Y",'Cost Margin'!$J24=""),'Cost Margin'!$B$8,'Cost Margin'!$J24),R$5),MIN(IF(OR('Cost Margin'!$B$14="Y",'Cost Margin'!$K24=""),'Cost Margin'!$B$9,'Cost Margin'!$K24),R$6)))))</f>
        <v>0</v>
      </c>
      <c r="S16" s="35" t="n">
        <f aca="false">IF(OR(S$5="",'Cost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Margin'!$K24),S$6)&lt;MAX(IF(OR('Cost Margin'!$B$14="Y",'Cost Margin'!$J24=""),'Cost Margin'!$B$8,'Cost Margin'!$J24),S$5),0,IFERROR(NETWORKDAYS(MAX(IF(OR('Cost Margin'!$B$14="Y",'Cost Margin'!$J24=""),'Cost Margin'!$B$8,'Cost Margin'!$J24),S$5),MIN(IF(OR('Cost Margin'!$B$14="Y",'Cost Margin'!$K24=""),'Cost Margin'!$B$9,'Cost Margin'!$K24),S$6),INDEX(Settings!$A$35:$D$74,0,MATCH('Cost Margin'!$C24,Settings!$A$34:$D$34,0))),NETWORKDAYS(MAX(IF(OR('Cost Margin'!$B$14="Y",'Cost Margin'!$J24=""),'Cost Margin'!$B$8,'Cost Margin'!$J24),S$5),MIN(IF(OR('Cost Margin'!$B$14="Y",'Cost Margin'!$K24=""),'Cost Margin'!$B$9,'Cost Margin'!$K24),S$6)))))</f>
        <v>0</v>
      </c>
      <c r="T16" s="35" t="n">
        <f aca="false">IF(OR(T$5="",'Cost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Margin'!$K24),T$6)&lt;MAX(IF(OR('Cost Margin'!$B$14="Y",'Cost Margin'!$J24=""),'Cost Margin'!$B$8,'Cost Margin'!$J24),T$5),0,IFERROR(NETWORKDAYS(MAX(IF(OR('Cost Margin'!$B$14="Y",'Cost Margin'!$J24=""),'Cost Margin'!$B$8,'Cost Margin'!$J24),T$5),MIN(IF(OR('Cost Margin'!$B$14="Y",'Cost Margin'!$K24=""),'Cost Margin'!$B$9,'Cost Margin'!$K24),T$6),INDEX(Settings!$A$35:$D$74,0,MATCH('Cost Margin'!$C24,Settings!$A$34:$D$34,0))),NETWORKDAYS(MAX(IF(OR('Cost Margin'!$B$14="Y",'Cost Margin'!$J24=""),'Cost Margin'!$B$8,'Cost Margin'!$J24),T$5),MIN(IF(OR('Cost Margin'!$B$14="Y",'Cost Margin'!$K24=""),'Cost Margin'!$B$9,'Cost Margin'!$K24),T$6)))))</f>
        <v>0</v>
      </c>
      <c r="U16" s="35" t="n">
        <f aca="false">IF(OR(U$5="",'Cost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Margin'!$K24),U$6)&lt;MAX(IF(OR('Cost Margin'!$B$14="Y",'Cost Margin'!$J24=""),'Cost Margin'!$B$8,'Cost Margin'!$J24),U$5),0,IFERROR(NETWORKDAYS(MAX(IF(OR('Cost Margin'!$B$14="Y",'Cost Margin'!$J24=""),'Cost Margin'!$B$8,'Cost Margin'!$J24),U$5),MIN(IF(OR('Cost Margin'!$B$14="Y",'Cost Margin'!$K24=""),'Cost Margin'!$B$9,'Cost Margin'!$K24),U$6),INDEX(Settings!$A$35:$D$74,0,MATCH('Cost Margin'!$C24,Settings!$A$34:$D$34,0))),NETWORKDAYS(MAX(IF(OR('Cost Margin'!$B$14="Y",'Cost Margin'!$J24=""),'Cost Margin'!$B$8,'Cost Margin'!$J24),U$5),MIN(IF(OR('Cost Margin'!$B$14="Y",'Cost Margin'!$K24=""),'Cost Margin'!$B$9,'Cost Margin'!$K24),U$6)))))</f>
        <v>0</v>
      </c>
      <c r="V16" s="35" t="n">
        <f aca="false">IF(OR(V$5="",'Cost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Margin'!$K24),V$6)&lt;MAX(IF(OR('Cost Margin'!$B$14="Y",'Cost Margin'!$J24=""),'Cost Margin'!$B$8,'Cost Margin'!$J24),V$5),0,IFERROR(NETWORKDAYS(MAX(IF(OR('Cost Margin'!$B$14="Y",'Cost Margin'!$J24=""),'Cost Margin'!$B$8,'Cost Margin'!$J24),V$5),MIN(IF(OR('Cost Margin'!$B$14="Y",'Cost Margin'!$K24=""),'Cost Margin'!$B$9,'Cost Margin'!$K24),V$6),INDEX(Settings!$A$35:$D$74,0,MATCH('Cost Margin'!$C24,Settings!$A$34:$D$34,0))),NETWORKDAYS(MAX(IF(OR('Cost Margin'!$B$14="Y",'Cost Margin'!$J24=""),'Cost Margin'!$B$8,'Cost Margin'!$J24),V$5),MIN(IF(OR('Cost Margin'!$B$14="Y",'Cost Margin'!$K24=""),'Cost Margin'!$B$9,'Cost Margin'!$K24),V$6)))))</f>
        <v>0</v>
      </c>
      <c r="W16" s="35" t="n">
        <f aca="false">IF(OR(W$5="",'Cost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Margin'!$K24),W$6)&lt;MAX(IF(OR('Cost Margin'!$B$14="Y",'Cost Margin'!$J24=""),'Cost Margin'!$B$8,'Cost Margin'!$J24),W$5),0,IFERROR(NETWORKDAYS(MAX(IF(OR('Cost Margin'!$B$14="Y",'Cost Margin'!$J24=""),'Cost Margin'!$B$8,'Cost Margin'!$J24),W$5),MIN(IF(OR('Cost Margin'!$B$14="Y",'Cost Margin'!$K24=""),'Cost Margin'!$B$9,'Cost Margin'!$K24),W$6),INDEX(Settings!$A$35:$D$74,0,MATCH('Cost Margin'!$C24,Settings!$A$34:$D$34,0))),NETWORKDAYS(MAX(IF(OR('Cost Margin'!$B$14="Y",'Cost Margin'!$J24=""),'Cost Margin'!$B$8,'Cost Margin'!$J24),W$5),MIN(IF(OR('Cost Margin'!$B$14="Y",'Cost Margin'!$K24=""),'Cost Margin'!$B$9,'Cost Margin'!$K24),W$6)))))</f>
        <v>0</v>
      </c>
      <c r="X16" s="35" t="n">
        <f aca="false">IF(OR(X$5="",'Cost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Margin'!$K24),X$6)&lt;MAX(IF(OR('Cost Margin'!$B$14="Y",'Cost Margin'!$J24=""),'Cost Margin'!$B$8,'Cost Margin'!$J24),X$5),0,IFERROR(NETWORKDAYS(MAX(IF(OR('Cost Margin'!$B$14="Y",'Cost Margin'!$J24=""),'Cost Margin'!$B$8,'Cost Margin'!$J24),X$5),MIN(IF(OR('Cost Margin'!$B$14="Y",'Cost Margin'!$K24=""),'Cost Margin'!$B$9,'Cost Margin'!$K24),X$6),INDEX(Settings!$A$35:$D$74,0,MATCH('Cost Margin'!$C24,Settings!$A$34:$D$34,0))),NETWORKDAYS(MAX(IF(OR('Cost Margin'!$B$14="Y",'Cost Margin'!$J24=""),'Cost Margin'!$B$8,'Cost Margin'!$J24),X$5),MIN(IF(OR('Cost Margin'!$B$14="Y",'Cost Margin'!$K24=""),'Cost Margin'!$B$9,'Cost Margin'!$K24),X$6)))))</f>
        <v>0</v>
      </c>
      <c r="Y16" s="35" t="n">
        <f aca="false">IF(OR(Y$5="",'Cost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Margin'!$K24),Y$6)&lt;MAX(IF(OR('Cost Margin'!$B$14="Y",'Cost Margin'!$J24=""),'Cost Margin'!$B$8,'Cost Margin'!$J24),Y$5),0,IFERROR(NETWORKDAYS(MAX(IF(OR('Cost Margin'!$B$14="Y",'Cost Margin'!$J24=""),'Cost Margin'!$B$8,'Cost Margin'!$J24),Y$5),MIN(IF(OR('Cost Margin'!$B$14="Y",'Cost Margin'!$K24=""),'Cost Margin'!$B$9,'Cost Margin'!$K24),Y$6),INDEX(Settings!$A$35:$D$74,0,MATCH('Cost Margin'!$C24,Settings!$A$34:$D$34,0))),NETWORKDAYS(MAX(IF(OR('Cost Margin'!$B$14="Y",'Cost Margin'!$J24=""),'Cost Margin'!$B$8,'Cost Margin'!$J24),Y$5),MIN(IF(OR('Cost Margin'!$B$14="Y",'Cost Margin'!$K24=""),'Cost Margin'!$B$9,'Cost Margin'!$K24),Y$6)))))</f>
        <v>0</v>
      </c>
      <c r="Z16" s="35" t="n">
        <f aca="false">IF(OR(Z$5="",'Cost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Margin'!$K24),Z$6)&lt;MAX(IF(OR('Cost Margin'!$B$14="Y",'Cost Margin'!$J24=""),'Cost Margin'!$B$8,'Cost Margin'!$J24),Z$5),0,IFERROR(NETWORKDAYS(MAX(IF(OR('Cost Margin'!$B$14="Y",'Cost Margin'!$J24=""),'Cost Margin'!$B$8,'Cost Margin'!$J24),Z$5),MIN(IF(OR('Cost Margin'!$B$14="Y",'Cost Margin'!$K24=""),'Cost Margin'!$B$9,'Cost Margin'!$K24),Z$6),INDEX(Settings!$A$35:$D$74,0,MATCH('Cost Margin'!$C24,Settings!$A$34:$D$34,0))),NETWORKDAYS(MAX(IF(OR('Cost Margin'!$B$14="Y",'Cost Margin'!$J24=""),'Cost Margin'!$B$8,'Cost Margin'!$J24),Z$5),MIN(IF(OR('Cost Margin'!$B$14="Y",'Cost Margin'!$K24=""),'Cost Margin'!$B$9,'Cost Margin'!$K24),Z$6)))))</f>
        <v>0</v>
      </c>
      <c r="AB16" s="34" t="str">
        <f aca="false">IF('Cost Margin'!A24="","",IF('Cost Margin'!E24="","(unassigned)",'Cost Margin'!E24))</f>
        <v/>
      </c>
    </row>
    <row r="17" customFormat="false" ht="15" hidden="false" customHeight="false" outlineLevel="0" collapsed="false">
      <c r="A17" s="0" t="n">
        <v>9</v>
      </c>
      <c r="B17" s="34" t="str">
        <f aca="false">IF('Cost Margin'!A25="","",'Cost Margin'!A25&amp;IF('Cost Margin'!E25="",""," · "&amp;'Cost Margin'!E25))</f>
        <v/>
      </c>
      <c r="C17" s="35" t="n">
        <f aca="false">IF(OR(C$5="",'Cost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Margin'!$K25),C$6)&lt;MAX(IF(OR('Cost Margin'!$B$14="Y",'Cost Margin'!$J25=""),'Cost Margin'!$B$8,'Cost Margin'!$J25),C$5),0,IFERROR(NETWORKDAYS(MAX(IF(OR('Cost Margin'!$B$14="Y",'Cost Margin'!$J25=""),'Cost Margin'!$B$8,'Cost Margin'!$J25),C$5),MIN(IF(OR('Cost Margin'!$B$14="Y",'Cost Margin'!$K25=""),'Cost Margin'!$B$9,'Cost Margin'!$K25),C$6),INDEX(Settings!$A$35:$D$74,0,MATCH('Cost Margin'!$C25,Settings!$A$34:$D$34,0))),NETWORKDAYS(MAX(IF(OR('Cost Margin'!$B$14="Y",'Cost Margin'!$J25=""),'Cost Margin'!$B$8,'Cost Margin'!$J25),C$5),MIN(IF(OR('Cost Margin'!$B$14="Y",'Cost Margin'!$K25=""),'Cost Margin'!$B$9,'Cost Margin'!$K25),C$6)))))</f>
        <v>0</v>
      </c>
      <c r="D17" s="35" t="n">
        <f aca="false">IF(OR(D$5="",'Cost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Margin'!$K25),D$6)&lt;MAX(IF(OR('Cost Margin'!$B$14="Y",'Cost Margin'!$J25=""),'Cost Margin'!$B$8,'Cost Margin'!$J25),D$5),0,IFERROR(NETWORKDAYS(MAX(IF(OR('Cost Margin'!$B$14="Y",'Cost Margin'!$J25=""),'Cost Margin'!$B$8,'Cost Margin'!$J25),D$5),MIN(IF(OR('Cost Margin'!$B$14="Y",'Cost Margin'!$K25=""),'Cost Margin'!$B$9,'Cost Margin'!$K25),D$6),INDEX(Settings!$A$35:$D$74,0,MATCH('Cost Margin'!$C25,Settings!$A$34:$D$34,0))),NETWORKDAYS(MAX(IF(OR('Cost Margin'!$B$14="Y",'Cost Margin'!$J25=""),'Cost Margin'!$B$8,'Cost Margin'!$J25),D$5),MIN(IF(OR('Cost Margin'!$B$14="Y",'Cost Margin'!$K25=""),'Cost Margin'!$B$9,'Cost Margin'!$K25),D$6)))))</f>
        <v>0</v>
      </c>
      <c r="E17" s="35" t="n">
        <f aca="false">IF(OR(E$5="",'Cost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Margin'!$K25),E$6)&lt;MAX(IF(OR('Cost Margin'!$B$14="Y",'Cost Margin'!$J25=""),'Cost Margin'!$B$8,'Cost Margin'!$J25),E$5),0,IFERROR(NETWORKDAYS(MAX(IF(OR('Cost Margin'!$B$14="Y",'Cost Margin'!$J25=""),'Cost Margin'!$B$8,'Cost Margin'!$J25),E$5),MIN(IF(OR('Cost Margin'!$B$14="Y",'Cost Margin'!$K25=""),'Cost Margin'!$B$9,'Cost Margin'!$K25),E$6),INDEX(Settings!$A$35:$D$74,0,MATCH('Cost Margin'!$C25,Settings!$A$34:$D$34,0))),NETWORKDAYS(MAX(IF(OR('Cost Margin'!$B$14="Y",'Cost Margin'!$J25=""),'Cost Margin'!$B$8,'Cost Margin'!$J25),E$5),MIN(IF(OR('Cost Margin'!$B$14="Y",'Cost Margin'!$K25=""),'Cost Margin'!$B$9,'Cost Margin'!$K25),E$6)))))</f>
        <v>0</v>
      </c>
      <c r="F17" s="35" t="n">
        <f aca="false">IF(OR(F$5="",'Cost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Margin'!$K25),F$6)&lt;MAX(IF(OR('Cost Margin'!$B$14="Y",'Cost Margin'!$J25=""),'Cost Margin'!$B$8,'Cost Margin'!$J25),F$5),0,IFERROR(NETWORKDAYS(MAX(IF(OR('Cost Margin'!$B$14="Y",'Cost Margin'!$J25=""),'Cost Margin'!$B$8,'Cost Margin'!$J25),F$5),MIN(IF(OR('Cost Margin'!$B$14="Y",'Cost Margin'!$K25=""),'Cost Margin'!$B$9,'Cost Margin'!$K25),F$6),INDEX(Settings!$A$35:$D$74,0,MATCH('Cost Margin'!$C25,Settings!$A$34:$D$34,0))),NETWORKDAYS(MAX(IF(OR('Cost Margin'!$B$14="Y",'Cost Margin'!$J25=""),'Cost Margin'!$B$8,'Cost Margin'!$J25),F$5),MIN(IF(OR('Cost Margin'!$B$14="Y",'Cost Margin'!$K25=""),'Cost Margin'!$B$9,'Cost Margin'!$K25),F$6)))))</f>
        <v>0</v>
      </c>
      <c r="G17" s="35" t="n">
        <f aca="false">IF(OR(G$5="",'Cost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Margin'!$K25),G$6)&lt;MAX(IF(OR('Cost Margin'!$B$14="Y",'Cost Margin'!$J25=""),'Cost Margin'!$B$8,'Cost Margin'!$J25),G$5),0,IFERROR(NETWORKDAYS(MAX(IF(OR('Cost Margin'!$B$14="Y",'Cost Margin'!$J25=""),'Cost Margin'!$B$8,'Cost Margin'!$J25),G$5),MIN(IF(OR('Cost Margin'!$B$14="Y",'Cost Margin'!$K25=""),'Cost Margin'!$B$9,'Cost Margin'!$K25),G$6),INDEX(Settings!$A$35:$D$74,0,MATCH('Cost Margin'!$C25,Settings!$A$34:$D$34,0))),NETWORKDAYS(MAX(IF(OR('Cost Margin'!$B$14="Y",'Cost Margin'!$J25=""),'Cost Margin'!$B$8,'Cost Margin'!$J25),G$5),MIN(IF(OR('Cost Margin'!$B$14="Y",'Cost Margin'!$K25=""),'Cost Margin'!$B$9,'Cost Margin'!$K25),G$6)))))</f>
        <v>0</v>
      </c>
      <c r="H17" s="35" t="n">
        <f aca="false">IF(OR(H$5="",'Cost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Margin'!$K25),H$6)&lt;MAX(IF(OR('Cost Margin'!$B$14="Y",'Cost Margin'!$J25=""),'Cost Margin'!$B$8,'Cost Margin'!$J25),H$5),0,IFERROR(NETWORKDAYS(MAX(IF(OR('Cost Margin'!$B$14="Y",'Cost Margin'!$J25=""),'Cost Margin'!$B$8,'Cost Margin'!$J25),H$5),MIN(IF(OR('Cost Margin'!$B$14="Y",'Cost Margin'!$K25=""),'Cost Margin'!$B$9,'Cost Margin'!$K25),H$6),INDEX(Settings!$A$35:$D$74,0,MATCH('Cost Margin'!$C25,Settings!$A$34:$D$34,0))),NETWORKDAYS(MAX(IF(OR('Cost Margin'!$B$14="Y",'Cost Margin'!$J25=""),'Cost Margin'!$B$8,'Cost Margin'!$J25),H$5),MIN(IF(OR('Cost Margin'!$B$14="Y",'Cost Margin'!$K25=""),'Cost Margin'!$B$9,'Cost Margin'!$K25),H$6)))))</f>
        <v>0</v>
      </c>
      <c r="I17" s="35" t="n">
        <f aca="false">IF(OR(I$5="",'Cost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Margin'!$K25),I$6)&lt;MAX(IF(OR('Cost Margin'!$B$14="Y",'Cost Margin'!$J25=""),'Cost Margin'!$B$8,'Cost Margin'!$J25),I$5),0,IFERROR(NETWORKDAYS(MAX(IF(OR('Cost Margin'!$B$14="Y",'Cost Margin'!$J25=""),'Cost Margin'!$B$8,'Cost Margin'!$J25),I$5),MIN(IF(OR('Cost Margin'!$B$14="Y",'Cost Margin'!$K25=""),'Cost Margin'!$B$9,'Cost Margin'!$K25),I$6),INDEX(Settings!$A$35:$D$74,0,MATCH('Cost Margin'!$C25,Settings!$A$34:$D$34,0))),NETWORKDAYS(MAX(IF(OR('Cost Margin'!$B$14="Y",'Cost Margin'!$J25=""),'Cost Margin'!$B$8,'Cost Margin'!$J25),I$5),MIN(IF(OR('Cost Margin'!$B$14="Y",'Cost Margin'!$K25=""),'Cost Margin'!$B$9,'Cost Margin'!$K25),I$6)))))</f>
        <v>0</v>
      </c>
      <c r="J17" s="35" t="n">
        <f aca="false">IF(OR(J$5="",'Cost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Margin'!$K25),J$6)&lt;MAX(IF(OR('Cost Margin'!$B$14="Y",'Cost Margin'!$J25=""),'Cost Margin'!$B$8,'Cost Margin'!$J25),J$5),0,IFERROR(NETWORKDAYS(MAX(IF(OR('Cost Margin'!$B$14="Y",'Cost Margin'!$J25=""),'Cost Margin'!$B$8,'Cost Margin'!$J25),J$5),MIN(IF(OR('Cost Margin'!$B$14="Y",'Cost Margin'!$K25=""),'Cost Margin'!$B$9,'Cost Margin'!$K25),J$6),INDEX(Settings!$A$35:$D$74,0,MATCH('Cost Margin'!$C25,Settings!$A$34:$D$34,0))),NETWORKDAYS(MAX(IF(OR('Cost Margin'!$B$14="Y",'Cost Margin'!$J25=""),'Cost Margin'!$B$8,'Cost Margin'!$J25),J$5),MIN(IF(OR('Cost Margin'!$B$14="Y",'Cost Margin'!$K25=""),'Cost Margin'!$B$9,'Cost Margin'!$K25),J$6)))))</f>
        <v>0</v>
      </c>
      <c r="K17" s="35" t="n">
        <f aca="false">IF(OR(K$5="",'Cost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Margin'!$K25),K$6)&lt;MAX(IF(OR('Cost Margin'!$B$14="Y",'Cost Margin'!$J25=""),'Cost Margin'!$B$8,'Cost Margin'!$J25),K$5),0,IFERROR(NETWORKDAYS(MAX(IF(OR('Cost Margin'!$B$14="Y",'Cost Margin'!$J25=""),'Cost Margin'!$B$8,'Cost Margin'!$J25),K$5),MIN(IF(OR('Cost Margin'!$B$14="Y",'Cost Margin'!$K25=""),'Cost Margin'!$B$9,'Cost Margin'!$K25),K$6),INDEX(Settings!$A$35:$D$74,0,MATCH('Cost Margin'!$C25,Settings!$A$34:$D$34,0))),NETWORKDAYS(MAX(IF(OR('Cost Margin'!$B$14="Y",'Cost Margin'!$J25=""),'Cost Margin'!$B$8,'Cost Margin'!$J25),K$5),MIN(IF(OR('Cost Margin'!$B$14="Y",'Cost Margin'!$K25=""),'Cost Margin'!$B$9,'Cost Margin'!$K25),K$6)))))</f>
        <v>0</v>
      </c>
      <c r="L17" s="35" t="n">
        <f aca="false">IF(OR(L$5="",'Cost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Margin'!$K25),L$6)&lt;MAX(IF(OR('Cost Margin'!$B$14="Y",'Cost Margin'!$J25=""),'Cost Margin'!$B$8,'Cost Margin'!$J25),L$5),0,IFERROR(NETWORKDAYS(MAX(IF(OR('Cost Margin'!$B$14="Y",'Cost Margin'!$J25=""),'Cost Margin'!$B$8,'Cost Margin'!$J25),L$5),MIN(IF(OR('Cost Margin'!$B$14="Y",'Cost Margin'!$K25=""),'Cost Margin'!$B$9,'Cost Margin'!$K25),L$6),INDEX(Settings!$A$35:$D$74,0,MATCH('Cost Margin'!$C25,Settings!$A$34:$D$34,0))),NETWORKDAYS(MAX(IF(OR('Cost Margin'!$B$14="Y",'Cost Margin'!$J25=""),'Cost Margin'!$B$8,'Cost Margin'!$J25),L$5),MIN(IF(OR('Cost Margin'!$B$14="Y",'Cost Margin'!$K25=""),'Cost Margin'!$B$9,'Cost Margin'!$K25),L$6)))))</f>
        <v>0</v>
      </c>
      <c r="M17" s="35" t="n">
        <f aca="false">IF(OR(M$5="",'Cost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Margin'!$K25),M$6)&lt;MAX(IF(OR('Cost Margin'!$B$14="Y",'Cost Margin'!$J25=""),'Cost Margin'!$B$8,'Cost Margin'!$J25),M$5),0,IFERROR(NETWORKDAYS(MAX(IF(OR('Cost Margin'!$B$14="Y",'Cost Margin'!$J25=""),'Cost Margin'!$B$8,'Cost Margin'!$J25),M$5),MIN(IF(OR('Cost Margin'!$B$14="Y",'Cost Margin'!$K25=""),'Cost Margin'!$B$9,'Cost Margin'!$K25),M$6),INDEX(Settings!$A$35:$D$74,0,MATCH('Cost Margin'!$C25,Settings!$A$34:$D$34,0))),NETWORKDAYS(MAX(IF(OR('Cost Margin'!$B$14="Y",'Cost Margin'!$J25=""),'Cost Margin'!$B$8,'Cost Margin'!$J25),M$5),MIN(IF(OR('Cost Margin'!$B$14="Y",'Cost Margin'!$K25=""),'Cost Margin'!$B$9,'Cost Margin'!$K25),M$6)))))</f>
        <v>0</v>
      </c>
      <c r="N17" s="35" t="n">
        <f aca="false">IF(OR(N$5="",'Cost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Margin'!$K25),N$6)&lt;MAX(IF(OR('Cost Margin'!$B$14="Y",'Cost Margin'!$J25=""),'Cost Margin'!$B$8,'Cost Margin'!$J25),N$5),0,IFERROR(NETWORKDAYS(MAX(IF(OR('Cost Margin'!$B$14="Y",'Cost Margin'!$J25=""),'Cost Margin'!$B$8,'Cost Margin'!$J25),N$5),MIN(IF(OR('Cost Margin'!$B$14="Y",'Cost Margin'!$K25=""),'Cost Margin'!$B$9,'Cost Margin'!$K25),N$6),INDEX(Settings!$A$35:$D$74,0,MATCH('Cost Margin'!$C25,Settings!$A$34:$D$34,0))),NETWORKDAYS(MAX(IF(OR('Cost Margin'!$B$14="Y",'Cost Margin'!$J25=""),'Cost Margin'!$B$8,'Cost Margin'!$J25),N$5),MIN(IF(OR('Cost Margin'!$B$14="Y",'Cost Margin'!$K25=""),'Cost Margin'!$B$9,'Cost Margin'!$K25),N$6)))))</f>
        <v>0</v>
      </c>
      <c r="O17" s="35" t="n">
        <f aca="false">IF(OR(O$5="",'Cost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Margin'!$K25),O$6)&lt;MAX(IF(OR('Cost Margin'!$B$14="Y",'Cost Margin'!$J25=""),'Cost Margin'!$B$8,'Cost Margin'!$J25),O$5),0,IFERROR(NETWORKDAYS(MAX(IF(OR('Cost Margin'!$B$14="Y",'Cost Margin'!$J25=""),'Cost Margin'!$B$8,'Cost Margin'!$J25),O$5),MIN(IF(OR('Cost Margin'!$B$14="Y",'Cost Margin'!$K25=""),'Cost Margin'!$B$9,'Cost Margin'!$K25),O$6),INDEX(Settings!$A$35:$D$74,0,MATCH('Cost Margin'!$C25,Settings!$A$34:$D$34,0))),NETWORKDAYS(MAX(IF(OR('Cost Margin'!$B$14="Y",'Cost Margin'!$J25=""),'Cost Margin'!$B$8,'Cost Margin'!$J25),O$5),MIN(IF(OR('Cost Margin'!$B$14="Y",'Cost Margin'!$K25=""),'Cost Margin'!$B$9,'Cost Margin'!$K25),O$6)))))</f>
        <v>0</v>
      </c>
      <c r="P17" s="35" t="n">
        <f aca="false">IF(OR(P$5="",'Cost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Margin'!$K25),P$6)&lt;MAX(IF(OR('Cost Margin'!$B$14="Y",'Cost Margin'!$J25=""),'Cost Margin'!$B$8,'Cost Margin'!$J25),P$5),0,IFERROR(NETWORKDAYS(MAX(IF(OR('Cost Margin'!$B$14="Y",'Cost Margin'!$J25=""),'Cost Margin'!$B$8,'Cost Margin'!$J25),P$5),MIN(IF(OR('Cost Margin'!$B$14="Y",'Cost Margin'!$K25=""),'Cost Margin'!$B$9,'Cost Margin'!$K25),P$6),INDEX(Settings!$A$35:$D$74,0,MATCH('Cost Margin'!$C25,Settings!$A$34:$D$34,0))),NETWORKDAYS(MAX(IF(OR('Cost Margin'!$B$14="Y",'Cost Margin'!$J25=""),'Cost Margin'!$B$8,'Cost Margin'!$J25),P$5),MIN(IF(OR('Cost Margin'!$B$14="Y",'Cost Margin'!$K25=""),'Cost Margin'!$B$9,'Cost Margin'!$K25),P$6)))))</f>
        <v>0</v>
      </c>
      <c r="Q17" s="35" t="n">
        <f aca="false">IF(OR(Q$5="",'Cost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Margin'!$K25),Q$6)&lt;MAX(IF(OR('Cost Margin'!$B$14="Y",'Cost Margin'!$J25=""),'Cost Margin'!$B$8,'Cost Margin'!$J25),Q$5),0,IFERROR(NETWORKDAYS(MAX(IF(OR('Cost Margin'!$B$14="Y",'Cost Margin'!$J25=""),'Cost Margin'!$B$8,'Cost Margin'!$J25),Q$5),MIN(IF(OR('Cost Margin'!$B$14="Y",'Cost Margin'!$K25=""),'Cost Margin'!$B$9,'Cost Margin'!$K25),Q$6),INDEX(Settings!$A$35:$D$74,0,MATCH('Cost Margin'!$C25,Settings!$A$34:$D$34,0))),NETWORKDAYS(MAX(IF(OR('Cost Margin'!$B$14="Y",'Cost Margin'!$J25=""),'Cost Margin'!$B$8,'Cost Margin'!$J25),Q$5),MIN(IF(OR('Cost Margin'!$B$14="Y",'Cost Margin'!$K25=""),'Cost Margin'!$B$9,'Cost Margin'!$K25),Q$6)))))</f>
        <v>0</v>
      </c>
      <c r="R17" s="35" t="n">
        <f aca="false">IF(OR(R$5="",'Cost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Margin'!$K25),R$6)&lt;MAX(IF(OR('Cost Margin'!$B$14="Y",'Cost Margin'!$J25=""),'Cost Margin'!$B$8,'Cost Margin'!$J25),R$5),0,IFERROR(NETWORKDAYS(MAX(IF(OR('Cost Margin'!$B$14="Y",'Cost Margin'!$J25=""),'Cost Margin'!$B$8,'Cost Margin'!$J25),R$5),MIN(IF(OR('Cost Margin'!$B$14="Y",'Cost Margin'!$K25=""),'Cost Margin'!$B$9,'Cost Margin'!$K25),R$6),INDEX(Settings!$A$35:$D$74,0,MATCH('Cost Margin'!$C25,Settings!$A$34:$D$34,0))),NETWORKDAYS(MAX(IF(OR('Cost Margin'!$B$14="Y",'Cost Margin'!$J25=""),'Cost Margin'!$B$8,'Cost Margin'!$J25),R$5),MIN(IF(OR('Cost Margin'!$B$14="Y",'Cost Margin'!$K25=""),'Cost Margin'!$B$9,'Cost Margin'!$K25),R$6)))))</f>
        <v>0</v>
      </c>
      <c r="S17" s="35" t="n">
        <f aca="false">IF(OR(S$5="",'Cost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Margin'!$K25),S$6)&lt;MAX(IF(OR('Cost Margin'!$B$14="Y",'Cost Margin'!$J25=""),'Cost Margin'!$B$8,'Cost Margin'!$J25),S$5),0,IFERROR(NETWORKDAYS(MAX(IF(OR('Cost Margin'!$B$14="Y",'Cost Margin'!$J25=""),'Cost Margin'!$B$8,'Cost Margin'!$J25),S$5),MIN(IF(OR('Cost Margin'!$B$14="Y",'Cost Margin'!$K25=""),'Cost Margin'!$B$9,'Cost Margin'!$K25),S$6),INDEX(Settings!$A$35:$D$74,0,MATCH('Cost Margin'!$C25,Settings!$A$34:$D$34,0))),NETWORKDAYS(MAX(IF(OR('Cost Margin'!$B$14="Y",'Cost Margin'!$J25=""),'Cost Margin'!$B$8,'Cost Margin'!$J25),S$5),MIN(IF(OR('Cost Margin'!$B$14="Y",'Cost Margin'!$K25=""),'Cost Margin'!$B$9,'Cost Margin'!$K25),S$6)))))</f>
        <v>0</v>
      </c>
      <c r="T17" s="35" t="n">
        <f aca="false">IF(OR(T$5="",'Cost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Margin'!$K25),T$6)&lt;MAX(IF(OR('Cost Margin'!$B$14="Y",'Cost Margin'!$J25=""),'Cost Margin'!$B$8,'Cost Margin'!$J25),T$5),0,IFERROR(NETWORKDAYS(MAX(IF(OR('Cost Margin'!$B$14="Y",'Cost Margin'!$J25=""),'Cost Margin'!$B$8,'Cost Margin'!$J25),T$5),MIN(IF(OR('Cost Margin'!$B$14="Y",'Cost Margin'!$K25=""),'Cost Margin'!$B$9,'Cost Margin'!$K25),T$6),INDEX(Settings!$A$35:$D$74,0,MATCH('Cost Margin'!$C25,Settings!$A$34:$D$34,0))),NETWORKDAYS(MAX(IF(OR('Cost Margin'!$B$14="Y",'Cost Margin'!$J25=""),'Cost Margin'!$B$8,'Cost Margin'!$J25),T$5),MIN(IF(OR('Cost Margin'!$B$14="Y",'Cost Margin'!$K25=""),'Cost Margin'!$B$9,'Cost Margin'!$K25),T$6)))))</f>
        <v>0</v>
      </c>
      <c r="U17" s="35" t="n">
        <f aca="false">IF(OR(U$5="",'Cost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Margin'!$K25),U$6)&lt;MAX(IF(OR('Cost Margin'!$B$14="Y",'Cost Margin'!$J25=""),'Cost Margin'!$B$8,'Cost Margin'!$J25),U$5),0,IFERROR(NETWORKDAYS(MAX(IF(OR('Cost Margin'!$B$14="Y",'Cost Margin'!$J25=""),'Cost Margin'!$B$8,'Cost Margin'!$J25),U$5),MIN(IF(OR('Cost Margin'!$B$14="Y",'Cost Margin'!$K25=""),'Cost Margin'!$B$9,'Cost Margin'!$K25),U$6),INDEX(Settings!$A$35:$D$74,0,MATCH('Cost Margin'!$C25,Settings!$A$34:$D$34,0))),NETWORKDAYS(MAX(IF(OR('Cost Margin'!$B$14="Y",'Cost Margin'!$J25=""),'Cost Margin'!$B$8,'Cost Margin'!$J25),U$5),MIN(IF(OR('Cost Margin'!$B$14="Y",'Cost Margin'!$K25=""),'Cost Margin'!$B$9,'Cost Margin'!$K25),U$6)))))</f>
        <v>0</v>
      </c>
      <c r="V17" s="35" t="n">
        <f aca="false">IF(OR(V$5="",'Cost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Margin'!$K25),V$6)&lt;MAX(IF(OR('Cost Margin'!$B$14="Y",'Cost Margin'!$J25=""),'Cost Margin'!$B$8,'Cost Margin'!$J25),V$5),0,IFERROR(NETWORKDAYS(MAX(IF(OR('Cost Margin'!$B$14="Y",'Cost Margin'!$J25=""),'Cost Margin'!$B$8,'Cost Margin'!$J25),V$5),MIN(IF(OR('Cost Margin'!$B$14="Y",'Cost Margin'!$K25=""),'Cost Margin'!$B$9,'Cost Margin'!$K25),V$6),INDEX(Settings!$A$35:$D$74,0,MATCH('Cost Margin'!$C25,Settings!$A$34:$D$34,0))),NETWORKDAYS(MAX(IF(OR('Cost Margin'!$B$14="Y",'Cost Margin'!$J25=""),'Cost Margin'!$B$8,'Cost Margin'!$J25),V$5),MIN(IF(OR('Cost Margin'!$B$14="Y",'Cost Margin'!$K25=""),'Cost Margin'!$B$9,'Cost Margin'!$K25),V$6)))))</f>
        <v>0</v>
      </c>
      <c r="W17" s="35" t="n">
        <f aca="false">IF(OR(W$5="",'Cost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Margin'!$K25),W$6)&lt;MAX(IF(OR('Cost Margin'!$B$14="Y",'Cost Margin'!$J25=""),'Cost Margin'!$B$8,'Cost Margin'!$J25),W$5),0,IFERROR(NETWORKDAYS(MAX(IF(OR('Cost Margin'!$B$14="Y",'Cost Margin'!$J25=""),'Cost Margin'!$B$8,'Cost Margin'!$J25),W$5),MIN(IF(OR('Cost Margin'!$B$14="Y",'Cost Margin'!$K25=""),'Cost Margin'!$B$9,'Cost Margin'!$K25),W$6),INDEX(Settings!$A$35:$D$74,0,MATCH('Cost Margin'!$C25,Settings!$A$34:$D$34,0))),NETWORKDAYS(MAX(IF(OR('Cost Margin'!$B$14="Y",'Cost Margin'!$J25=""),'Cost Margin'!$B$8,'Cost Margin'!$J25),W$5),MIN(IF(OR('Cost Margin'!$B$14="Y",'Cost Margin'!$K25=""),'Cost Margin'!$B$9,'Cost Margin'!$K25),W$6)))))</f>
        <v>0</v>
      </c>
      <c r="X17" s="35" t="n">
        <f aca="false">IF(OR(X$5="",'Cost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Margin'!$K25),X$6)&lt;MAX(IF(OR('Cost Margin'!$B$14="Y",'Cost Margin'!$J25=""),'Cost Margin'!$B$8,'Cost Margin'!$J25),X$5),0,IFERROR(NETWORKDAYS(MAX(IF(OR('Cost Margin'!$B$14="Y",'Cost Margin'!$J25=""),'Cost Margin'!$B$8,'Cost Margin'!$J25),X$5),MIN(IF(OR('Cost Margin'!$B$14="Y",'Cost Margin'!$K25=""),'Cost Margin'!$B$9,'Cost Margin'!$K25),X$6),INDEX(Settings!$A$35:$D$74,0,MATCH('Cost Margin'!$C25,Settings!$A$34:$D$34,0))),NETWORKDAYS(MAX(IF(OR('Cost Margin'!$B$14="Y",'Cost Margin'!$J25=""),'Cost Margin'!$B$8,'Cost Margin'!$J25),X$5),MIN(IF(OR('Cost Margin'!$B$14="Y",'Cost Margin'!$K25=""),'Cost Margin'!$B$9,'Cost Margin'!$K25),X$6)))))</f>
        <v>0</v>
      </c>
      <c r="Y17" s="35" t="n">
        <f aca="false">IF(OR(Y$5="",'Cost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Margin'!$K25),Y$6)&lt;MAX(IF(OR('Cost Margin'!$B$14="Y",'Cost Margin'!$J25=""),'Cost Margin'!$B$8,'Cost Margin'!$J25),Y$5),0,IFERROR(NETWORKDAYS(MAX(IF(OR('Cost Margin'!$B$14="Y",'Cost Margin'!$J25=""),'Cost Margin'!$B$8,'Cost Margin'!$J25),Y$5),MIN(IF(OR('Cost Margin'!$B$14="Y",'Cost Margin'!$K25=""),'Cost Margin'!$B$9,'Cost Margin'!$K25),Y$6),INDEX(Settings!$A$35:$D$74,0,MATCH('Cost Margin'!$C25,Settings!$A$34:$D$34,0))),NETWORKDAYS(MAX(IF(OR('Cost Margin'!$B$14="Y",'Cost Margin'!$J25=""),'Cost Margin'!$B$8,'Cost Margin'!$J25),Y$5),MIN(IF(OR('Cost Margin'!$B$14="Y",'Cost Margin'!$K25=""),'Cost Margin'!$B$9,'Cost Margin'!$K25),Y$6)))))</f>
        <v>0</v>
      </c>
      <c r="Z17" s="35" t="n">
        <f aca="false">IF(OR(Z$5="",'Cost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Margin'!$K25),Z$6)&lt;MAX(IF(OR('Cost Margin'!$B$14="Y",'Cost Margin'!$J25=""),'Cost Margin'!$B$8,'Cost Margin'!$J25),Z$5),0,IFERROR(NETWORKDAYS(MAX(IF(OR('Cost Margin'!$B$14="Y",'Cost Margin'!$J25=""),'Cost Margin'!$B$8,'Cost Margin'!$J25),Z$5),MIN(IF(OR('Cost Margin'!$B$14="Y",'Cost Margin'!$K25=""),'Cost Margin'!$B$9,'Cost Margin'!$K25),Z$6),INDEX(Settings!$A$35:$D$74,0,MATCH('Cost Margin'!$C25,Settings!$A$34:$D$34,0))),NETWORKDAYS(MAX(IF(OR('Cost Margin'!$B$14="Y",'Cost Margin'!$J25=""),'Cost Margin'!$B$8,'Cost Margin'!$J25),Z$5),MIN(IF(OR('Cost Margin'!$B$14="Y",'Cost Margin'!$K25=""),'Cost Margin'!$B$9,'Cost Margin'!$K25),Z$6)))))</f>
        <v>0</v>
      </c>
      <c r="AB17" s="34" t="str">
        <f aca="false">IF('Cost Margin'!A25="","",IF('Cost Margin'!E25="","(unassigned)",'Cost Margin'!E25))</f>
        <v/>
      </c>
    </row>
    <row r="18" customFormat="false" ht="15" hidden="false" customHeight="false" outlineLevel="0" collapsed="false">
      <c r="A18" s="0" t="n">
        <v>10</v>
      </c>
      <c r="B18" s="34" t="str">
        <f aca="false">IF('Cost Margin'!A26="","",'Cost Margin'!A26&amp;IF('Cost Margin'!E26="",""," · "&amp;'Cost Margin'!E26))</f>
        <v/>
      </c>
      <c r="C18" s="35" t="n">
        <f aca="false">IF(OR(C$5="",'Cost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Margin'!$K26),C$6)&lt;MAX(IF(OR('Cost Margin'!$B$14="Y",'Cost Margin'!$J26=""),'Cost Margin'!$B$8,'Cost Margin'!$J26),C$5),0,IFERROR(NETWORKDAYS(MAX(IF(OR('Cost Margin'!$B$14="Y",'Cost Margin'!$J26=""),'Cost Margin'!$B$8,'Cost Margin'!$J26),C$5),MIN(IF(OR('Cost Margin'!$B$14="Y",'Cost Margin'!$K26=""),'Cost Margin'!$B$9,'Cost Margin'!$K26),C$6),INDEX(Settings!$A$35:$D$74,0,MATCH('Cost Margin'!$C26,Settings!$A$34:$D$34,0))),NETWORKDAYS(MAX(IF(OR('Cost Margin'!$B$14="Y",'Cost Margin'!$J26=""),'Cost Margin'!$B$8,'Cost Margin'!$J26),C$5),MIN(IF(OR('Cost Margin'!$B$14="Y",'Cost Margin'!$K26=""),'Cost Margin'!$B$9,'Cost Margin'!$K26),C$6)))))</f>
        <v>0</v>
      </c>
      <c r="D18" s="35" t="n">
        <f aca="false">IF(OR(D$5="",'Cost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Margin'!$K26),D$6)&lt;MAX(IF(OR('Cost Margin'!$B$14="Y",'Cost Margin'!$J26=""),'Cost Margin'!$B$8,'Cost Margin'!$J26),D$5),0,IFERROR(NETWORKDAYS(MAX(IF(OR('Cost Margin'!$B$14="Y",'Cost Margin'!$J26=""),'Cost Margin'!$B$8,'Cost Margin'!$J26),D$5),MIN(IF(OR('Cost Margin'!$B$14="Y",'Cost Margin'!$K26=""),'Cost Margin'!$B$9,'Cost Margin'!$K26),D$6),INDEX(Settings!$A$35:$D$74,0,MATCH('Cost Margin'!$C26,Settings!$A$34:$D$34,0))),NETWORKDAYS(MAX(IF(OR('Cost Margin'!$B$14="Y",'Cost Margin'!$J26=""),'Cost Margin'!$B$8,'Cost Margin'!$J26),D$5),MIN(IF(OR('Cost Margin'!$B$14="Y",'Cost Margin'!$K26=""),'Cost Margin'!$B$9,'Cost Margin'!$K26),D$6)))))</f>
        <v>0</v>
      </c>
      <c r="E18" s="35" t="n">
        <f aca="false">IF(OR(E$5="",'Cost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Margin'!$K26),E$6)&lt;MAX(IF(OR('Cost Margin'!$B$14="Y",'Cost Margin'!$J26=""),'Cost Margin'!$B$8,'Cost Margin'!$J26),E$5),0,IFERROR(NETWORKDAYS(MAX(IF(OR('Cost Margin'!$B$14="Y",'Cost Margin'!$J26=""),'Cost Margin'!$B$8,'Cost Margin'!$J26),E$5),MIN(IF(OR('Cost Margin'!$B$14="Y",'Cost Margin'!$K26=""),'Cost Margin'!$B$9,'Cost Margin'!$K26),E$6),INDEX(Settings!$A$35:$D$74,0,MATCH('Cost Margin'!$C26,Settings!$A$34:$D$34,0))),NETWORKDAYS(MAX(IF(OR('Cost Margin'!$B$14="Y",'Cost Margin'!$J26=""),'Cost Margin'!$B$8,'Cost Margin'!$J26),E$5),MIN(IF(OR('Cost Margin'!$B$14="Y",'Cost Margin'!$K26=""),'Cost Margin'!$B$9,'Cost Margin'!$K26),E$6)))))</f>
        <v>0</v>
      </c>
      <c r="F18" s="35" t="n">
        <f aca="false">IF(OR(F$5="",'Cost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Margin'!$K26),F$6)&lt;MAX(IF(OR('Cost Margin'!$B$14="Y",'Cost Margin'!$J26=""),'Cost Margin'!$B$8,'Cost Margin'!$J26),F$5),0,IFERROR(NETWORKDAYS(MAX(IF(OR('Cost Margin'!$B$14="Y",'Cost Margin'!$J26=""),'Cost Margin'!$B$8,'Cost Margin'!$J26),F$5),MIN(IF(OR('Cost Margin'!$B$14="Y",'Cost Margin'!$K26=""),'Cost Margin'!$B$9,'Cost Margin'!$K26),F$6),INDEX(Settings!$A$35:$D$74,0,MATCH('Cost Margin'!$C26,Settings!$A$34:$D$34,0))),NETWORKDAYS(MAX(IF(OR('Cost Margin'!$B$14="Y",'Cost Margin'!$J26=""),'Cost Margin'!$B$8,'Cost Margin'!$J26),F$5),MIN(IF(OR('Cost Margin'!$B$14="Y",'Cost Margin'!$K26=""),'Cost Margin'!$B$9,'Cost Margin'!$K26),F$6)))))</f>
        <v>0</v>
      </c>
      <c r="G18" s="35" t="n">
        <f aca="false">IF(OR(G$5="",'Cost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Margin'!$K26),G$6)&lt;MAX(IF(OR('Cost Margin'!$B$14="Y",'Cost Margin'!$J26=""),'Cost Margin'!$B$8,'Cost Margin'!$J26),G$5),0,IFERROR(NETWORKDAYS(MAX(IF(OR('Cost Margin'!$B$14="Y",'Cost Margin'!$J26=""),'Cost Margin'!$B$8,'Cost Margin'!$J26),G$5),MIN(IF(OR('Cost Margin'!$B$14="Y",'Cost Margin'!$K26=""),'Cost Margin'!$B$9,'Cost Margin'!$K26),G$6),INDEX(Settings!$A$35:$D$74,0,MATCH('Cost Margin'!$C26,Settings!$A$34:$D$34,0))),NETWORKDAYS(MAX(IF(OR('Cost Margin'!$B$14="Y",'Cost Margin'!$J26=""),'Cost Margin'!$B$8,'Cost Margin'!$J26),G$5),MIN(IF(OR('Cost Margin'!$B$14="Y",'Cost Margin'!$K26=""),'Cost Margin'!$B$9,'Cost Margin'!$K26),G$6)))))</f>
        <v>0</v>
      </c>
      <c r="H18" s="35" t="n">
        <f aca="false">IF(OR(H$5="",'Cost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Margin'!$K26),H$6)&lt;MAX(IF(OR('Cost Margin'!$B$14="Y",'Cost Margin'!$J26=""),'Cost Margin'!$B$8,'Cost Margin'!$J26),H$5),0,IFERROR(NETWORKDAYS(MAX(IF(OR('Cost Margin'!$B$14="Y",'Cost Margin'!$J26=""),'Cost Margin'!$B$8,'Cost Margin'!$J26),H$5),MIN(IF(OR('Cost Margin'!$B$14="Y",'Cost Margin'!$K26=""),'Cost Margin'!$B$9,'Cost Margin'!$K26),H$6),INDEX(Settings!$A$35:$D$74,0,MATCH('Cost Margin'!$C26,Settings!$A$34:$D$34,0))),NETWORKDAYS(MAX(IF(OR('Cost Margin'!$B$14="Y",'Cost Margin'!$J26=""),'Cost Margin'!$B$8,'Cost Margin'!$J26),H$5),MIN(IF(OR('Cost Margin'!$B$14="Y",'Cost Margin'!$K26=""),'Cost Margin'!$B$9,'Cost Margin'!$K26),H$6)))))</f>
        <v>0</v>
      </c>
      <c r="I18" s="35" t="n">
        <f aca="false">IF(OR(I$5="",'Cost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Margin'!$K26),I$6)&lt;MAX(IF(OR('Cost Margin'!$B$14="Y",'Cost Margin'!$J26=""),'Cost Margin'!$B$8,'Cost Margin'!$J26),I$5),0,IFERROR(NETWORKDAYS(MAX(IF(OR('Cost Margin'!$B$14="Y",'Cost Margin'!$J26=""),'Cost Margin'!$B$8,'Cost Margin'!$J26),I$5),MIN(IF(OR('Cost Margin'!$B$14="Y",'Cost Margin'!$K26=""),'Cost Margin'!$B$9,'Cost Margin'!$K26),I$6),INDEX(Settings!$A$35:$D$74,0,MATCH('Cost Margin'!$C26,Settings!$A$34:$D$34,0))),NETWORKDAYS(MAX(IF(OR('Cost Margin'!$B$14="Y",'Cost Margin'!$J26=""),'Cost Margin'!$B$8,'Cost Margin'!$J26),I$5),MIN(IF(OR('Cost Margin'!$B$14="Y",'Cost Margin'!$K26=""),'Cost Margin'!$B$9,'Cost Margin'!$K26),I$6)))))</f>
        <v>0</v>
      </c>
      <c r="J18" s="35" t="n">
        <f aca="false">IF(OR(J$5="",'Cost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Margin'!$K26),J$6)&lt;MAX(IF(OR('Cost Margin'!$B$14="Y",'Cost Margin'!$J26=""),'Cost Margin'!$B$8,'Cost Margin'!$J26),J$5),0,IFERROR(NETWORKDAYS(MAX(IF(OR('Cost Margin'!$B$14="Y",'Cost Margin'!$J26=""),'Cost Margin'!$B$8,'Cost Margin'!$J26),J$5),MIN(IF(OR('Cost Margin'!$B$14="Y",'Cost Margin'!$K26=""),'Cost Margin'!$B$9,'Cost Margin'!$K26),J$6),INDEX(Settings!$A$35:$D$74,0,MATCH('Cost Margin'!$C26,Settings!$A$34:$D$34,0))),NETWORKDAYS(MAX(IF(OR('Cost Margin'!$B$14="Y",'Cost Margin'!$J26=""),'Cost Margin'!$B$8,'Cost Margin'!$J26),J$5),MIN(IF(OR('Cost Margin'!$B$14="Y",'Cost Margin'!$K26=""),'Cost Margin'!$B$9,'Cost Margin'!$K26),J$6)))))</f>
        <v>0</v>
      </c>
      <c r="K18" s="35" t="n">
        <f aca="false">IF(OR(K$5="",'Cost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Margin'!$K26),K$6)&lt;MAX(IF(OR('Cost Margin'!$B$14="Y",'Cost Margin'!$J26=""),'Cost Margin'!$B$8,'Cost Margin'!$J26),K$5),0,IFERROR(NETWORKDAYS(MAX(IF(OR('Cost Margin'!$B$14="Y",'Cost Margin'!$J26=""),'Cost Margin'!$B$8,'Cost Margin'!$J26),K$5),MIN(IF(OR('Cost Margin'!$B$14="Y",'Cost Margin'!$K26=""),'Cost Margin'!$B$9,'Cost Margin'!$K26),K$6),INDEX(Settings!$A$35:$D$74,0,MATCH('Cost Margin'!$C26,Settings!$A$34:$D$34,0))),NETWORKDAYS(MAX(IF(OR('Cost Margin'!$B$14="Y",'Cost Margin'!$J26=""),'Cost Margin'!$B$8,'Cost Margin'!$J26),K$5),MIN(IF(OR('Cost Margin'!$B$14="Y",'Cost Margin'!$K26=""),'Cost Margin'!$B$9,'Cost Margin'!$K26),K$6)))))</f>
        <v>0</v>
      </c>
      <c r="L18" s="35" t="n">
        <f aca="false">IF(OR(L$5="",'Cost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Margin'!$K26),L$6)&lt;MAX(IF(OR('Cost Margin'!$B$14="Y",'Cost Margin'!$J26=""),'Cost Margin'!$B$8,'Cost Margin'!$J26),L$5),0,IFERROR(NETWORKDAYS(MAX(IF(OR('Cost Margin'!$B$14="Y",'Cost Margin'!$J26=""),'Cost Margin'!$B$8,'Cost Margin'!$J26),L$5),MIN(IF(OR('Cost Margin'!$B$14="Y",'Cost Margin'!$K26=""),'Cost Margin'!$B$9,'Cost Margin'!$K26),L$6),INDEX(Settings!$A$35:$D$74,0,MATCH('Cost Margin'!$C26,Settings!$A$34:$D$34,0))),NETWORKDAYS(MAX(IF(OR('Cost Margin'!$B$14="Y",'Cost Margin'!$J26=""),'Cost Margin'!$B$8,'Cost Margin'!$J26),L$5),MIN(IF(OR('Cost Margin'!$B$14="Y",'Cost Margin'!$K26=""),'Cost Margin'!$B$9,'Cost Margin'!$K26),L$6)))))</f>
        <v>0</v>
      </c>
      <c r="M18" s="35" t="n">
        <f aca="false">IF(OR(M$5="",'Cost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Margin'!$K26),M$6)&lt;MAX(IF(OR('Cost Margin'!$B$14="Y",'Cost Margin'!$J26=""),'Cost Margin'!$B$8,'Cost Margin'!$J26),M$5),0,IFERROR(NETWORKDAYS(MAX(IF(OR('Cost Margin'!$B$14="Y",'Cost Margin'!$J26=""),'Cost Margin'!$B$8,'Cost Margin'!$J26),M$5),MIN(IF(OR('Cost Margin'!$B$14="Y",'Cost Margin'!$K26=""),'Cost Margin'!$B$9,'Cost Margin'!$K26),M$6),INDEX(Settings!$A$35:$D$74,0,MATCH('Cost Margin'!$C26,Settings!$A$34:$D$34,0))),NETWORKDAYS(MAX(IF(OR('Cost Margin'!$B$14="Y",'Cost Margin'!$J26=""),'Cost Margin'!$B$8,'Cost Margin'!$J26),M$5),MIN(IF(OR('Cost Margin'!$B$14="Y",'Cost Margin'!$K26=""),'Cost Margin'!$B$9,'Cost Margin'!$K26),M$6)))))</f>
        <v>0</v>
      </c>
      <c r="N18" s="35" t="n">
        <f aca="false">IF(OR(N$5="",'Cost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Margin'!$K26),N$6)&lt;MAX(IF(OR('Cost Margin'!$B$14="Y",'Cost Margin'!$J26=""),'Cost Margin'!$B$8,'Cost Margin'!$J26),N$5),0,IFERROR(NETWORKDAYS(MAX(IF(OR('Cost Margin'!$B$14="Y",'Cost Margin'!$J26=""),'Cost Margin'!$B$8,'Cost Margin'!$J26),N$5),MIN(IF(OR('Cost Margin'!$B$14="Y",'Cost Margin'!$K26=""),'Cost Margin'!$B$9,'Cost Margin'!$K26),N$6),INDEX(Settings!$A$35:$D$74,0,MATCH('Cost Margin'!$C26,Settings!$A$34:$D$34,0))),NETWORKDAYS(MAX(IF(OR('Cost Margin'!$B$14="Y",'Cost Margin'!$J26=""),'Cost Margin'!$B$8,'Cost Margin'!$J26),N$5),MIN(IF(OR('Cost Margin'!$B$14="Y",'Cost Margin'!$K26=""),'Cost Margin'!$B$9,'Cost Margin'!$K26),N$6)))))</f>
        <v>0</v>
      </c>
      <c r="O18" s="35" t="n">
        <f aca="false">IF(OR(O$5="",'Cost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Margin'!$K26),O$6)&lt;MAX(IF(OR('Cost Margin'!$B$14="Y",'Cost Margin'!$J26=""),'Cost Margin'!$B$8,'Cost Margin'!$J26),O$5),0,IFERROR(NETWORKDAYS(MAX(IF(OR('Cost Margin'!$B$14="Y",'Cost Margin'!$J26=""),'Cost Margin'!$B$8,'Cost Margin'!$J26),O$5),MIN(IF(OR('Cost Margin'!$B$14="Y",'Cost Margin'!$K26=""),'Cost Margin'!$B$9,'Cost Margin'!$K26),O$6),INDEX(Settings!$A$35:$D$74,0,MATCH('Cost Margin'!$C26,Settings!$A$34:$D$34,0))),NETWORKDAYS(MAX(IF(OR('Cost Margin'!$B$14="Y",'Cost Margin'!$J26=""),'Cost Margin'!$B$8,'Cost Margin'!$J26),O$5),MIN(IF(OR('Cost Margin'!$B$14="Y",'Cost Margin'!$K26=""),'Cost Margin'!$B$9,'Cost Margin'!$K26),O$6)))))</f>
        <v>0</v>
      </c>
      <c r="P18" s="35" t="n">
        <f aca="false">IF(OR(P$5="",'Cost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Margin'!$K26),P$6)&lt;MAX(IF(OR('Cost Margin'!$B$14="Y",'Cost Margin'!$J26=""),'Cost Margin'!$B$8,'Cost Margin'!$J26),P$5),0,IFERROR(NETWORKDAYS(MAX(IF(OR('Cost Margin'!$B$14="Y",'Cost Margin'!$J26=""),'Cost Margin'!$B$8,'Cost Margin'!$J26),P$5),MIN(IF(OR('Cost Margin'!$B$14="Y",'Cost Margin'!$K26=""),'Cost Margin'!$B$9,'Cost Margin'!$K26),P$6),INDEX(Settings!$A$35:$D$74,0,MATCH('Cost Margin'!$C26,Settings!$A$34:$D$34,0))),NETWORKDAYS(MAX(IF(OR('Cost Margin'!$B$14="Y",'Cost Margin'!$J26=""),'Cost Margin'!$B$8,'Cost Margin'!$J26),P$5),MIN(IF(OR('Cost Margin'!$B$14="Y",'Cost Margin'!$K26=""),'Cost Margin'!$B$9,'Cost Margin'!$K26),P$6)))))</f>
        <v>0</v>
      </c>
      <c r="Q18" s="35" t="n">
        <f aca="false">IF(OR(Q$5="",'Cost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Margin'!$K26),Q$6)&lt;MAX(IF(OR('Cost Margin'!$B$14="Y",'Cost Margin'!$J26=""),'Cost Margin'!$B$8,'Cost Margin'!$J26),Q$5),0,IFERROR(NETWORKDAYS(MAX(IF(OR('Cost Margin'!$B$14="Y",'Cost Margin'!$J26=""),'Cost Margin'!$B$8,'Cost Margin'!$J26),Q$5),MIN(IF(OR('Cost Margin'!$B$14="Y",'Cost Margin'!$K26=""),'Cost Margin'!$B$9,'Cost Margin'!$K26),Q$6),INDEX(Settings!$A$35:$D$74,0,MATCH('Cost Margin'!$C26,Settings!$A$34:$D$34,0))),NETWORKDAYS(MAX(IF(OR('Cost Margin'!$B$14="Y",'Cost Margin'!$J26=""),'Cost Margin'!$B$8,'Cost Margin'!$J26),Q$5),MIN(IF(OR('Cost Margin'!$B$14="Y",'Cost Margin'!$K26=""),'Cost Margin'!$B$9,'Cost Margin'!$K26),Q$6)))))</f>
        <v>0</v>
      </c>
      <c r="R18" s="35" t="n">
        <f aca="false">IF(OR(R$5="",'Cost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Margin'!$K26),R$6)&lt;MAX(IF(OR('Cost Margin'!$B$14="Y",'Cost Margin'!$J26=""),'Cost Margin'!$B$8,'Cost Margin'!$J26),R$5),0,IFERROR(NETWORKDAYS(MAX(IF(OR('Cost Margin'!$B$14="Y",'Cost Margin'!$J26=""),'Cost Margin'!$B$8,'Cost Margin'!$J26),R$5),MIN(IF(OR('Cost Margin'!$B$14="Y",'Cost Margin'!$K26=""),'Cost Margin'!$B$9,'Cost Margin'!$K26),R$6),INDEX(Settings!$A$35:$D$74,0,MATCH('Cost Margin'!$C26,Settings!$A$34:$D$34,0))),NETWORKDAYS(MAX(IF(OR('Cost Margin'!$B$14="Y",'Cost Margin'!$J26=""),'Cost Margin'!$B$8,'Cost Margin'!$J26),R$5),MIN(IF(OR('Cost Margin'!$B$14="Y",'Cost Margin'!$K26=""),'Cost Margin'!$B$9,'Cost Margin'!$K26),R$6)))))</f>
        <v>0</v>
      </c>
      <c r="S18" s="35" t="n">
        <f aca="false">IF(OR(S$5="",'Cost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Margin'!$K26),S$6)&lt;MAX(IF(OR('Cost Margin'!$B$14="Y",'Cost Margin'!$J26=""),'Cost Margin'!$B$8,'Cost Margin'!$J26),S$5),0,IFERROR(NETWORKDAYS(MAX(IF(OR('Cost Margin'!$B$14="Y",'Cost Margin'!$J26=""),'Cost Margin'!$B$8,'Cost Margin'!$J26),S$5),MIN(IF(OR('Cost Margin'!$B$14="Y",'Cost Margin'!$K26=""),'Cost Margin'!$B$9,'Cost Margin'!$K26),S$6),INDEX(Settings!$A$35:$D$74,0,MATCH('Cost Margin'!$C26,Settings!$A$34:$D$34,0))),NETWORKDAYS(MAX(IF(OR('Cost Margin'!$B$14="Y",'Cost Margin'!$J26=""),'Cost Margin'!$B$8,'Cost Margin'!$J26),S$5),MIN(IF(OR('Cost Margin'!$B$14="Y",'Cost Margin'!$K26=""),'Cost Margin'!$B$9,'Cost Margin'!$K26),S$6)))))</f>
        <v>0</v>
      </c>
      <c r="T18" s="35" t="n">
        <f aca="false">IF(OR(T$5="",'Cost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Margin'!$K26),T$6)&lt;MAX(IF(OR('Cost Margin'!$B$14="Y",'Cost Margin'!$J26=""),'Cost Margin'!$B$8,'Cost Margin'!$J26),T$5),0,IFERROR(NETWORKDAYS(MAX(IF(OR('Cost Margin'!$B$14="Y",'Cost Margin'!$J26=""),'Cost Margin'!$B$8,'Cost Margin'!$J26),T$5),MIN(IF(OR('Cost Margin'!$B$14="Y",'Cost Margin'!$K26=""),'Cost Margin'!$B$9,'Cost Margin'!$K26),T$6),INDEX(Settings!$A$35:$D$74,0,MATCH('Cost Margin'!$C26,Settings!$A$34:$D$34,0))),NETWORKDAYS(MAX(IF(OR('Cost Margin'!$B$14="Y",'Cost Margin'!$J26=""),'Cost Margin'!$B$8,'Cost Margin'!$J26),T$5),MIN(IF(OR('Cost Margin'!$B$14="Y",'Cost Margin'!$K26=""),'Cost Margin'!$B$9,'Cost Margin'!$K26),T$6)))))</f>
        <v>0</v>
      </c>
      <c r="U18" s="35" t="n">
        <f aca="false">IF(OR(U$5="",'Cost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Margin'!$K26),U$6)&lt;MAX(IF(OR('Cost Margin'!$B$14="Y",'Cost Margin'!$J26=""),'Cost Margin'!$B$8,'Cost Margin'!$J26),U$5),0,IFERROR(NETWORKDAYS(MAX(IF(OR('Cost Margin'!$B$14="Y",'Cost Margin'!$J26=""),'Cost Margin'!$B$8,'Cost Margin'!$J26),U$5),MIN(IF(OR('Cost Margin'!$B$14="Y",'Cost Margin'!$K26=""),'Cost Margin'!$B$9,'Cost Margin'!$K26),U$6),INDEX(Settings!$A$35:$D$74,0,MATCH('Cost Margin'!$C26,Settings!$A$34:$D$34,0))),NETWORKDAYS(MAX(IF(OR('Cost Margin'!$B$14="Y",'Cost Margin'!$J26=""),'Cost Margin'!$B$8,'Cost Margin'!$J26),U$5),MIN(IF(OR('Cost Margin'!$B$14="Y",'Cost Margin'!$K26=""),'Cost Margin'!$B$9,'Cost Margin'!$K26),U$6)))))</f>
        <v>0</v>
      </c>
      <c r="V18" s="35" t="n">
        <f aca="false">IF(OR(V$5="",'Cost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Margin'!$K26),V$6)&lt;MAX(IF(OR('Cost Margin'!$B$14="Y",'Cost Margin'!$J26=""),'Cost Margin'!$B$8,'Cost Margin'!$J26),V$5),0,IFERROR(NETWORKDAYS(MAX(IF(OR('Cost Margin'!$B$14="Y",'Cost Margin'!$J26=""),'Cost Margin'!$B$8,'Cost Margin'!$J26),V$5),MIN(IF(OR('Cost Margin'!$B$14="Y",'Cost Margin'!$K26=""),'Cost Margin'!$B$9,'Cost Margin'!$K26),V$6),INDEX(Settings!$A$35:$D$74,0,MATCH('Cost Margin'!$C26,Settings!$A$34:$D$34,0))),NETWORKDAYS(MAX(IF(OR('Cost Margin'!$B$14="Y",'Cost Margin'!$J26=""),'Cost Margin'!$B$8,'Cost Margin'!$J26),V$5),MIN(IF(OR('Cost Margin'!$B$14="Y",'Cost Margin'!$K26=""),'Cost Margin'!$B$9,'Cost Margin'!$K26),V$6)))))</f>
        <v>0</v>
      </c>
      <c r="W18" s="35" t="n">
        <f aca="false">IF(OR(W$5="",'Cost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Margin'!$K26),W$6)&lt;MAX(IF(OR('Cost Margin'!$B$14="Y",'Cost Margin'!$J26=""),'Cost Margin'!$B$8,'Cost Margin'!$J26),W$5),0,IFERROR(NETWORKDAYS(MAX(IF(OR('Cost Margin'!$B$14="Y",'Cost Margin'!$J26=""),'Cost Margin'!$B$8,'Cost Margin'!$J26),W$5),MIN(IF(OR('Cost Margin'!$B$14="Y",'Cost Margin'!$K26=""),'Cost Margin'!$B$9,'Cost Margin'!$K26),W$6),INDEX(Settings!$A$35:$D$74,0,MATCH('Cost Margin'!$C26,Settings!$A$34:$D$34,0))),NETWORKDAYS(MAX(IF(OR('Cost Margin'!$B$14="Y",'Cost Margin'!$J26=""),'Cost Margin'!$B$8,'Cost Margin'!$J26),W$5),MIN(IF(OR('Cost Margin'!$B$14="Y",'Cost Margin'!$K26=""),'Cost Margin'!$B$9,'Cost Margin'!$K26),W$6)))))</f>
        <v>0</v>
      </c>
      <c r="X18" s="35" t="n">
        <f aca="false">IF(OR(X$5="",'Cost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Margin'!$K26),X$6)&lt;MAX(IF(OR('Cost Margin'!$B$14="Y",'Cost Margin'!$J26=""),'Cost Margin'!$B$8,'Cost Margin'!$J26),X$5),0,IFERROR(NETWORKDAYS(MAX(IF(OR('Cost Margin'!$B$14="Y",'Cost Margin'!$J26=""),'Cost Margin'!$B$8,'Cost Margin'!$J26),X$5),MIN(IF(OR('Cost Margin'!$B$14="Y",'Cost Margin'!$K26=""),'Cost Margin'!$B$9,'Cost Margin'!$K26),X$6),INDEX(Settings!$A$35:$D$74,0,MATCH('Cost Margin'!$C26,Settings!$A$34:$D$34,0))),NETWORKDAYS(MAX(IF(OR('Cost Margin'!$B$14="Y",'Cost Margin'!$J26=""),'Cost Margin'!$B$8,'Cost Margin'!$J26),X$5),MIN(IF(OR('Cost Margin'!$B$14="Y",'Cost Margin'!$K26=""),'Cost Margin'!$B$9,'Cost Margin'!$K26),X$6)))))</f>
        <v>0</v>
      </c>
      <c r="Y18" s="35" t="n">
        <f aca="false">IF(OR(Y$5="",'Cost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Margin'!$K26),Y$6)&lt;MAX(IF(OR('Cost Margin'!$B$14="Y",'Cost Margin'!$J26=""),'Cost Margin'!$B$8,'Cost Margin'!$J26),Y$5),0,IFERROR(NETWORKDAYS(MAX(IF(OR('Cost Margin'!$B$14="Y",'Cost Margin'!$J26=""),'Cost Margin'!$B$8,'Cost Margin'!$J26),Y$5),MIN(IF(OR('Cost Margin'!$B$14="Y",'Cost Margin'!$K26=""),'Cost Margin'!$B$9,'Cost Margin'!$K26),Y$6),INDEX(Settings!$A$35:$D$74,0,MATCH('Cost Margin'!$C26,Settings!$A$34:$D$34,0))),NETWORKDAYS(MAX(IF(OR('Cost Margin'!$B$14="Y",'Cost Margin'!$J26=""),'Cost Margin'!$B$8,'Cost Margin'!$J26),Y$5),MIN(IF(OR('Cost Margin'!$B$14="Y",'Cost Margin'!$K26=""),'Cost Margin'!$B$9,'Cost Margin'!$K26),Y$6)))))</f>
        <v>0</v>
      </c>
      <c r="Z18" s="35" t="n">
        <f aca="false">IF(OR(Z$5="",'Cost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Margin'!$K26),Z$6)&lt;MAX(IF(OR('Cost Margin'!$B$14="Y",'Cost Margin'!$J26=""),'Cost Margin'!$B$8,'Cost Margin'!$J26),Z$5),0,IFERROR(NETWORKDAYS(MAX(IF(OR('Cost Margin'!$B$14="Y",'Cost Margin'!$J26=""),'Cost Margin'!$B$8,'Cost Margin'!$J26),Z$5),MIN(IF(OR('Cost Margin'!$B$14="Y",'Cost Margin'!$K26=""),'Cost Margin'!$B$9,'Cost Margin'!$K26),Z$6),INDEX(Settings!$A$35:$D$74,0,MATCH('Cost Margin'!$C26,Settings!$A$34:$D$34,0))),NETWORKDAYS(MAX(IF(OR('Cost Margin'!$B$14="Y",'Cost Margin'!$J26=""),'Cost Margin'!$B$8,'Cost Margin'!$J26),Z$5),MIN(IF(OR('Cost Margin'!$B$14="Y",'Cost Margin'!$K26=""),'Cost Margin'!$B$9,'Cost Margin'!$K26),Z$6)))))</f>
        <v>0</v>
      </c>
      <c r="AB18" s="34" t="str">
        <f aca="false">IF('Cost Margin'!A26="","",IF('Cost Margin'!E26="","(unassigned)",'Cost Margin'!E26))</f>
        <v/>
      </c>
    </row>
    <row r="19" customFormat="false" ht="15" hidden="false" customHeight="false" outlineLevel="0" collapsed="false">
      <c r="A19" s="0" t="n">
        <v>11</v>
      </c>
      <c r="B19" s="34" t="str">
        <f aca="false">IF('Cost Margin'!A27="","",'Cost Margin'!A27&amp;IF('Cost Margin'!E27="",""," · "&amp;'Cost Margin'!E27))</f>
        <v/>
      </c>
      <c r="C19" s="35" t="n">
        <f aca="false">IF(OR(C$5="",'Cost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Margin'!$K27),C$6)&lt;MAX(IF(OR('Cost Margin'!$B$14="Y",'Cost Margin'!$J27=""),'Cost Margin'!$B$8,'Cost Margin'!$J27),C$5),0,IFERROR(NETWORKDAYS(MAX(IF(OR('Cost Margin'!$B$14="Y",'Cost Margin'!$J27=""),'Cost Margin'!$B$8,'Cost Margin'!$J27),C$5),MIN(IF(OR('Cost Margin'!$B$14="Y",'Cost Margin'!$K27=""),'Cost Margin'!$B$9,'Cost Margin'!$K27),C$6),INDEX(Settings!$A$35:$D$74,0,MATCH('Cost Margin'!$C27,Settings!$A$34:$D$34,0))),NETWORKDAYS(MAX(IF(OR('Cost Margin'!$B$14="Y",'Cost Margin'!$J27=""),'Cost Margin'!$B$8,'Cost Margin'!$J27),C$5),MIN(IF(OR('Cost Margin'!$B$14="Y",'Cost Margin'!$K27=""),'Cost Margin'!$B$9,'Cost Margin'!$K27),C$6)))))</f>
        <v>0</v>
      </c>
      <c r="D19" s="35" t="n">
        <f aca="false">IF(OR(D$5="",'Cost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Margin'!$K27),D$6)&lt;MAX(IF(OR('Cost Margin'!$B$14="Y",'Cost Margin'!$J27=""),'Cost Margin'!$B$8,'Cost Margin'!$J27),D$5),0,IFERROR(NETWORKDAYS(MAX(IF(OR('Cost Margin'!$B$14="Y",'Cost Margin'!$J27=""),'Cost Margin'!$B$8,'Cost Margin'!$J27),D$5),MIN(IF(OR('Cost Margin'!$B$14="Y",'Cost Margin'!$K27=""),'Cost Margin'!$B$9,'Cost Margin'!$K27),D$6),INDEX(Settings!$A$35:$D$74,0,MATCH('Cost Margin'!$C27,Settings!$A$34:$D$34,0))),NETWORKDAYS(MAX(IF(OR('Cost Margin'!$B$14="Y",'Cost Margin'!$J27=""),'Cost Margin'!$B$8,'Cost Margin'!$J27),D$5),MIN(IF(OR('Cost Margin'!$B$14="Y",'Cost Margin'!$K27=""),'Cost Margin'!$B$9,'Cost Margin'!$K27),D$6)))))</f>
        <v>0</v>
      </c>
      <c r="E19" s="35" t="n">
        <f aca="false">IF(OR(E$5="",'Cost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Margin'!$K27),E$6)&lt;MAX(IF(OR('Cost Margin'!$B$14="Y",'Cost Margin'!$J27=""),'Cost Margin'!$B$8,'Cost Margin'!$J27),E$5),0,IFERROR(NETWORKDAYS(MAX(IF(OR('Cost Margin'!$B$14="Y",'Cost Margin'!$J27=""),'Cost Margin'!$B$8,'Cost Margin'!$J27),E$5),MIN(IF(OR('Cost Margin'!$B$14="Y",'Cost Margin'!$K27=""),'Cost Margin'!$B$9,'Cost Margin'!$K27),E$6),INDEX(Settings!$A$35:$D$74,0,MATCH('Cost Margin'!$C27,Settings!$A$34:$D$34,0))),NETWORKDAYS(MAX(IF(OR('Cost Margin'!$B$14="Y",'Cost Margin'!$J27=""),'Cost Margin'!$B$8,'Cost Margin'!$J27),E$5),MIN(IF(OR('Cost Margin'!$B$14="Y",'Cost Margin'!$K27=""),'Cost Margin'!$B$9,'Cost Margin'!$K27),E$6)))))</f>
        <v>0</v>
      </c>
      <c r="F19" s="35" t="n">
        <f aca="false">IF(OR(F$5="",'Cost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Margin'!$K27),F$6)&lt;MAX(IF(OR('Cost Margin'!$B$14="Y",'Cost Margin'!$J27=""),'Cost Margin'!$B$8,'Cost Margin'!$J27),F$5),0,IFERROR(NETWORKDAYS(MAX(IF(OR('Cost Margin'!$B$14="Y",'Cost Margin'!$J27=""),'Cost Margin'!$B$8,'Cost Margin'!$J27),F$5),MIN(IF(OR('Cost Margin'!$B$14="Y",'Cost Margin'!$K27=""),'Cost Margin'!$B$9,'Cost Margin'!$K27),F$6),INDEX(Settings!$A$35:$D$74,0,MATCH('Cost Margin'!$C27,Settings!$A$34:$D$34,0))),NETWORKDAYS(MAX(IF(OR('Cost Margin'!$B$14="Y",'Cost Margin'!$J27=""),'Cost Margin'!$B$8,'Cost Margin'!$J27),F$5),MIN(IF(OR('Cost Margin'!$B$14="Y",'Cost Margin'!$K27=""),'Cost Margin'!$B$9,'Cost Margin'!$K27),F$6)))))</f>
        <v>0</v>
      </c>
      <c r="G19" s="35" t="n">
        <f aca="false">IF(OR(G$5="",'Cost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Margin'!$K27),G$6)&lt;MAX(IF(OR('Cost Margin'!$B$14="Y",'Cost Margin'!$J27=""),'Cost Margin'!$B$8,'Cost Margin'!$J27),G$5),0,IFERROR(NETWORKDAYS(MAX(IF(OR('Cost Margin'!$B$14="Y",'Cost Margin'!$J27=""),'Cost Margin'!$B$8,'Cost Margin'!$J27),G$5),MIN(IF(OR('Cost Margin'!$B$14="Y",'Cost Margin'!$K27=""),'Cost Margin'!$B$9,'Cost Margin'!$K27),G$6),INDEX(Settings!$A$35:$D$74,0,MATCH('Cost Margin'!$C27,Settings!$A$34:$D$34,0))),NETWORKDAYS(MAX(IF(OR('Cost Margin'!$B$14="Y",'Cost Margin'!$J27=""),'Cost Margin'!$B$8,'Cost Margin'!$J27),G$5),MIN(IF(OR('Cost Margin'!$B$14="Y",'Cost Margin'!$K27=""),'Cost Margin'!$B$9,'Cost Margin'!$K27),G$6)))))</f>
        <v>0</v>
      </c>
      <c r="H19" s="35" t="n">
        <f aca="false">IF(OR(H$5="",'Cost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Margin'!$K27),H$6)&lt;MAX(IF(OR('Cost Margin'!$B$14="Y",'Cost Margin'!$J27=""),'Cost Margin'!$B$8,'Cost Margin'!$J27),H$5),0,IFERROR(NETWORKDAYS(MAX(IF(OR('Cost Margin'!$B$14="Y",'Cost Margin'!$J27=""),'Cost Margin'!$B$8,'Cost Margin'!$J27),H$5),MIN(IF(OR('Cost Margin'!$B$14="Y",'Cost Margin'!$K27=""),'Cost Margin'!$B$9,'Cost Margin'!$K27),H$6),INDEX(Settings!$A$35:$D$74,0,MATCH('Cost Margin'!$C27,Settings!$A$34:$D$34,0))),NETWORKDAYS(MAX(IF(OR('Cost Margin'!$B$14="Y",'Cost Margin'!$J27=""),'Cost Margin'!$B$8,'Cost Margin'!$J27),H$5),MIN(IF(OR('Cost Margin'!$B$14="Y",'Cost Margin'!$K27=""),'Cost Margin'!$B$9,'Cost Margin'!$K27),H$6)))))</f>
        <v>0</v>
      </c>
      <c r="I19" s="35" t="n">
        <f aca="false">IF(OR(I$5="",'Cost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Margin'!$K27),I$6)&lt;MAX(IF(OR('Cost Margin'!$B$14="Y",'Cost Margin'!$J27=""),'Cost Margin'!$B$8,'Cost Margin'!$J27),I$5),0,IFERROR(NETWORKDAYS(MAX(IF(OR('Cost Margin'!$B$14="Y",'Cost Margin'!$J27=""),'Cost Margin'!$B$8,'Cost Margin'!$J27),I$5),MIN(IF(OR('Cost Margin'!$B$14="Y",'Cost Margin'!$K27=""),'Cost Margin'!$B$9,'Cost Margin'!$K27),I$6),INDEX(Settings!$A$35:$D$74,0,MATCH('Cost Margin'!$C27,Settings!$A$34:$D$34,0))),NETWORKDAYS(MAX(IF(OR('Cost Margin'!$B$14="Y",'Cost Margin'!$J27=""),'Cost Margin'!$B$8,'Cost Margin'!$J27),I$5),MIN(IF(OR('Cost Margin'!$B$14="Y",'Cost Margin'!$K27=""),'Cost Margin'!$B$9,'Cost Margin'!$K27),I$6)))))</f>
        <v>0</v>
      </c>
      <c r="J19" s="35" t="n">
        <f aca="false">IF(OR(J$5="",'Cost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Margin'!$K27),J$6)&lt;MAX(IF(OR('Cost Margin'!$B$14="Y",'Cost Margin'!$J27=""),'Cost Margin'!$B$8,'Cost Margin'!$J27),J$5),0,IFERROR(NETWORKDAYS(MAX(IF(OR('Cost Margin'!$B$14="Y",'Cost Margin'!$J27=""),'Cost Margin'!$B$8,'Cost Margin'!$J27),J$5),MIN(IF(OR('Cost Margin'!$B$14="Y",'Cost Margin'!$K27=""),'Cost Margin'!$B$9,'Cost Margin'!$K27),J$6),INDEX(Settings!$A$35:$D$74,0,MATCH('Cost Margin'!$C27,Settings!$A$34:$D$34,0))),NETWORKDAYS(MAX(IF(OR('Cost Margin'!$B$14="Y",'Cost Margin'!$J27=""),'Cost Margin'!$B$8,'Cost Margin'!$J27),J$5),MIN(IF(OR('Cost Margin'!$B$14="Y",'Cost Margin'!$K27=""),'Cost Margin'!$B$9,'Cost Margin'!$K27),J$6)))))</f>
        <v>0</v>
      </c>
      <c r="K19" s="35" t="n">
        <f aca="false">IF(OR(K$5="",'Cost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Margin'!$K27),K$6)&lt;MAX(IF(OR('Cost Margin'!$B$14="Y",'Cost Margin'!$J27=""),'Cost Margin'!$B$8,'Cost Margin'!$J27),K$5),0,IFERROR(NETWORKDAYS(MAX(IF(OR('Cost Margin'!$B$14="Y",'Cost Margin'!$J27=""),'Cost Margin'!$B$8,'Cost Margin'!$J27),K$5),MIN(IF(OR('Cost Margin'!$B$14="Y",'Cost Margin'!$K27=""),'Cost Margin'!$B$9,'Cost Margin'!$K27),K$6),INDEX(Settings!$A$35:$D$74,0,MATCH('Cost Margin'!$C27,Settings!$A$34:$D$34,0))),NETWORKDAYS(MAX(IF(OR('Cost Margin'!$B$14="Y",'Cost Margin'!$J27=""),'Cost Margin'!$B$8,'Cost Margin'!$J27),K$5),MIN(IF(OR('Cost Margin'!$B$14="Y",'Cost Margin'!$K27=""),'Cost Margin'!$B$9,'Cost Margin'!$K27),K$6)))))</f>
        <v>0</v>
      </c>
      <c r="L19" s="35" t="n">
        <f aca="false">IF(OR(L$5="",'Cost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Margin'!$K27),L$6)&lt;MAX(IF(OR('Cost Margin'!$B$14="Y",'Cost Margin'!$J27=""),'Cost Margin'!$B$8,'Cost Margin'!$J27),L$5),0,IFERROR(NETWORKDAYS(MAX(IF(OR('Cost Margin'!$B$14="Y",'Cost Margin'!$J27=""),'Cost Margin'!$B$8,'Cost Margin'!$J27),L$5),MIN(IF(OR('Cost Margin'!$B$14="Y",'Cost Margin'!$K27=""),'Cost Margin'!$B$9,'Cost Margin'!$K27),L$6),INDEX(Settings!$A$35:$D$74,0,MATCH('Cost Margin'!$C27,Settings!$A$34:$D$34,0))),NETWORKDAYS(MAX(IF(OR('Cost Margin'!$B$14="Y",'Cost Margin'!$J27=""),'Cost Margin'!$B$8,'Cost Margin'!$J27),L$5),MIN(IF(OR('Cost Margin'!$B$14="Y",'Cost Margin'!$K27=""),'Cost Margin'!$B$9,'Cost Margin'!$K27),L$6)))))</f>
        <v>0</v>
      </c>
      <c r="M19" s="35" t="n">
        <f aca="false">IF(OR(M$5="",'Cost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Margin'!$K27),M$6)&lt;MAX(IF(OR('Cost Margin'!$B$14="Y",'Cost Margin'!$J27=""),'Cost Margin'!$B$8,'Cost Margin'!$J27),M$5),0,IFERROR(NETWORKDAYS(MAX(IF(OR('Cost Margin'!$B$14="Y",'Cost Margin'!$J27=""),'Cost Margin'!$B$8,'Cost Margin'!$J27),M$5),MIN(IF(OR('Cost Margin'!$B$14="Y",'Cost Margin'!$K27=""),'Cost Margin'!$B$9,'Cost Margin'!$K27),M$6),INDEX(Settings!$A$35:$D$74,0,MATCH('Cost Margin'!$C27,Settings!$A$34:$D$34,0))),NETWORKDAYS(MAX(IF(OR('Cost Margin'!$B$14="Y",'Cost Margin'!$J27=""),'Cost Margin'!$B$8,'Cost Margin'!$J27),M$5),MIN(IF(OR('Cost Margin'!$B$14="Y",'Cost Margin'!$K27=""),'Cost Margin'!$B$9,'Cost Margin'!$K27),M$6)))))</f>
        <v>0</v>
      </c>
      <c r="N19" s="35" t="n">
        <f aca="false">IF(OR(N$5="",'Cost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Margin'!$K27),N$6)&lt;MAX(IF(OR('Cost Margin'!$B$14="Y",'Cost Margin'!$J27=""),'Cost Margin'!$B$8,'Cost Margin'!$J27),N$5),0,IFERROR(NETWORKDAYS(MAX(IF(OR('Cost Margin'!$B$14="Y",'Cost Margin'!$J27=""),'Cost Margin'!$B$8,'Cost Margin'!$J27),N$5),MIN(IF(OR('Cost Margin'!$B$14="Y",'Cost Margin'!$K27=""),'Cost Margin'!$B$9,'Cost Margin'!$K27),N$6),INDEX(Settings!$A$35:$D$74,0,MATCH('Cost Margin'!$C27,Settings!$A$34:$D$34,0))),NETWORKDAYS(MAX(IF(OR('Cost Margin'!$B$14="Y",'Cost Margin'!$J27=""),'Cost Margin'!$B$8,'Cost Margin'!$J27),N$5),MIN(IF(OR('Cost Margin'!$B$14="Y",'Cost Margin'!$K27=""),'Cost Margin'!$B$9,'Cost Margin'!$K27),N$6)))))</f>
        <v>0</v>
      </c>
      <c r="O19" s="35" t="n">
        <f aca="false">IF(OR(O$5="",'Cost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Margin'!$K27),O$6)&lt;MAX(IF(OR('Cost Margin'!$B$14="Y",'Cost Margin'!$J27=""),'Cost Margin'!$B$8,'Cost Margin'!$J27),O$5),0,IFERROR(NETWORKDAYS(MAX(IF(OR('Cost Margin'!$B$14="Y",'Cost Margin'!$J27=""),'Cost Margin'!$B$8,'Cost Margin'!$J27),O$5),MIN(IF(OR('Cost Margin'!$B$14="Y",'Cost Margin'!$K27=""),'Cost Margin'!$B$9,'Cost Margin'!$K27),O$6),INDEX(Settings!$A$35:$D$74,0,MATCH('Cost Margin'!$C27,Settings!$A$34:$D$34,0))),NETWORKDAYS(MAX(IF(OR('Cost Margin'!$B$14="Y",'Cost Margin'!$J27=""),'Cost Margin'!$B$8,'Cost Margin'!$J27),O$5),MIN(IF(OR('Cost Margin'!$B$14="Y",'Cost Margin'!$K27=""),'Cost Margin'!$B$9,'Cost Margin'!$K27),O$6)))))</f>
        <v>0</v>
      </c>
      <c r="P19" s="35" t="n">
        <f aca="false">IF(OR(P$5="",'Cost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Margin'!$K27),P$6)&lt;MAX(IF(OR('Cost Margin'!$B$14="Y",'Cost Margin'!$J27=""),'Cost Margin'!$B$8,'Cost Margin'!$J27),P$5),0,IFERROR(NETWORKDAYS(MAX(IF(OR('Cost Margin'!$B$14="Y",'Cost Margin'!$J27=""),'Cost Margin'!$B$8,'Cost Margin'!$J27),P$5),MIN(IF(OR('Cost Margin'!$B$14="Y",'Cost Margin'!$K27=""),'Cost Margin'!$B$9,'Cost Margin'!$K27),P$6),INDEX(Settings!$A$35:$D$74,0,MATCH('Cost Margin'!$C27,Settings!$A$34:$D$34,0))),NETWORKDAYS(MAX(IF(OR('Cost Margin'!$B$14="Y",'Cost Margin'!$J27=""),'Cost Margin'!$B$8,'Cost Margin'!$J27),P$5),MIN(IF(OR('Cost Margin'!$B$14="Y",'Cost Margin'!$K27=""),'Cost Margin'!$B$9,'Cost Margin'!$K27),P$6)))))</f>
        <v>0</v>
      </c>
      <c r="Q19" s="35" t="n">
        <f aca="false">IF(OR(Q$5="",'Cost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Margin'!$K27),Q$6)&lt;MAX(IF(OR('Cost Margin'!$B$14="Y",'Cost Margin'!$J27=""),'Cost Margin'!$B$8,'Cost Margin'!$J27),Q$5),0,IFERROR(NETWORKDAYS(MAX(IF(OR('Cost Margin'!$B$14="Y",'Cost Margin'!$J27=""),'Cost Margin'!$B$8,'Cost Margin'!$J27),Q$5),MIN(IF(OR('Cost Margin'!$B$14="Y",'Cost Margin'!$K27=""),'Cost Margin'!$B$9,'Cost Margin'!$K27),Q$6),INDEX(Settings!$A$35:$D$74,0,MATCH('Cost Margin'!$C27,Settings!$A$34:$D$34,0))),NETWORKDAYS(MAX(IF(OR('Cost Margin'!$B$14="Y",'Cost Margin'!$J27=""),'Cost Margin'!$B$8,'Cost Margin'!$J27),Q$5),MIN(IF(OR('Cost Margin'!$B$14="Y",'Cost Margin'!$K27=""),'Cost Margin'!$B$9,'Cost Margin'!$K27),Q$6)))))</f>
        <v>0</v>
      </c>
      <c r="R19" s="35" t="n">
        <f aca="false">IF(OR(R$5="",'Cost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Margin'!$K27),R$6)&lt;MAX(IF(OR('Cost Margin'!$B$14="Y",'Cost Margin'!$J27=""),'Cost Margin'!$B$8,'Cost Margin'!$J27),R$5),0,IFERROR(NETWORKDAYS(MAX(IF(OR('Cost Margin'!$B$14="Y",'Cost Margin'!$J27=""),'Cost Margin'!$B$8,'Cost Margin'!$J27),R$5),MIN(IF(OR('Cost Margin'!$B$14="Y",'Cost Margin'!$K27=""),'Cost Margin'!$B$9,'Cost Margin'!$K27),R$6),INDEX(Settings!$A$35:$D$74,0,MATCH('Cost Margin'!$C27,Settings!$A$34:$D$34,0))),NETWORKDAYS(MAX(IF(OR('Cost Margin'!$B$14="Y",'Cost Margin'!$J27=""),'Cost Margin'!$B$8,'Cost Margin'!$J27),R$5),MIN(IF(OR('Cost Margin'!$B$14="Y",'Cost Margin'!$K27=""),'Cost Margin'!$B$9,'Cost Margin'!$K27),R$6)))))</f>
        <v>0</v>
      </c>
      <c r="S19" s="35" t="n">
        <f aca="false">IF(OR(S$5="",'Cost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Margin'!$K27),S$6)&lt;MAX(IF(OR('Cost Margin'!$B$14="Y",'Cost Margin'!$J27=""),'Cost Margin'!$B$8,'Cost Margin'!$J27),S$5),0,IFERROR(NETWORKDAYS(MAX(IF(OR('Cost Margin'!$B$14="Y",'Cost Margin'!$J27=""),'Cost Margin'!$B$8,'Cost Margin'!$J27),S$5),MIN(IF(OR('Cost Margin'!$B$14="Y",'Cost Margin'!$K27=""),'Cost Margin'!$B$9,'Cost Margin'!$K27),S$6),INDEX(Settings!$A$35:$D$74,0,MATCH('Cost Margin'!$C27,Settings!$A$34:$D$34,0))),NETWORKDAYS(MAX(IF(OR('Cost Margin'!$B$14="Y",'Cost Margin'!$J27=""),'Cost Margin'!$B$8,'Cost Margin'!$J27),S$5),MIN(IF(OR('Cost Margin'!$B$14="Y",'Cost Margin'!$K27=""),'Cost Margin'!$B$9,'Cost Margin'!$K27),S$6)))))</f>
        <v>0</v>
      </c>
      <c r="T19" s="35" t="n">
        <f aca="false">IF(OR(T$5="",'Cost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Margin'!$K27),T$6)&lt;MAX(IF(OR('Cost Margin'!$B$14="Y",'Cost Margin'!$J27=""),'Cost Margin'!$B$8,'Cost Margin'!$J27),T$5),0,IFERROR(NETWORKDAYS(MAX(IF(OR('Cost Margin'!$B$14="Y",'Cost Margin'!$J27=""),'Cost Margin'!$B$8,'Cost Margin'!$J27),T$5),MIN(IF(OR('Cost Margin'!$B$14="Y",'Cost Margin'!$K27=""),'Cost Margin'!$B$9,'Cost Margin'!$K27),T$6),INDEX(Settings!$A$35:$D$74,0,MATCH('Cost Margin'!$C27,Settings!$A$34:$D$34,0))),NETWORKDAYS(MAX(IF(OR('Cost Margin'!$B$14="Y",'Cost Margin'!$J27=""),'Cost Margin'!$B$8,'Cost Margin'!$J27),T$5),MIN(IF(OR('Cost Margin'!$B$14="Y",'Cost Margin'!$K27=""),'Cost Margin'!$B$9,'Cost Margin'!$K27),T$6)))))</f>
        <v>0</v>
      </c>
      <c r="U19" s="35" t="n">
        <f aca="false">IF(OR(U$5="",'Cost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Margin'!$K27),U$6)&lt;MAX(IF(OR('Cost Margin'!$B$14="Y",'Cost Margin'!$J27=""),'Cost Margin'!$B$8,'Cost Margin'!$J27),U$5),0,IFERROR(NETWORKDAYS(MAX(IF(OR('Cost Margin'!$B$14="Y",'Cost Margin'!$J27=""),'Cost Margin'!$B$8,'Cost Margin'!$J27),U$5),MIN(IF(OR('Cost Margin'!$B$14="Y",'Cost Margin'!$K27=""),'Cost Margin'!$B$9,'Cost Margin'!$K27),U$6),INDEX(Settings!$A$35:$D$74,0,MATCH('Cost Margin'!$C27,Settings!$A$34:$D$34,0))),NETWORKDAYS(MAX(IF(OR('Cost Margin'!$B$14="Y",'Cost Margin'!$J27=""),'Cost Margin'!$B$8,'Cost Margin'!$J27),U$5),MIN(IF(OR('Cost Margin'!$B$14="Y",'Cost Margin'!$K27=""),'Cost Margin'!$B$9,'Cost Margin'!$K27),U$6)))))</f>
        <v>0</v>
      </c>
      <c r="V19" s="35" t="n">
        <f aca="false">IF(OR(V$5="",'Cost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Margin'!$K27),V$6)&lt;MAX(IF(OR('Cost Margin'!$B$14="Y",'Cost Margin'!$J27=""),'Cost Margin'!$B$8,'Cost Margin'!$J27),V$5),0,IFERROR(NETWORKDAYS(MAX(IF(OR('Cost Margin'!$B$14="Y",'Cost Margin'!$J27=""),'Cost Margin'!$B$8,'Cost Margin'!$J27),V$5),MIN(IF(OR('Cost Margin'!$B$14="Y",'Cost Margin'!$K27=""),'Cost Margin'!$B$9,'Cost Margin'!$K27),V$6),INDEX(Settings!$A$35:$D$74,0,MATCH('Cost Margin'!$C27,Settings!$A$34:$D$34,0))),NETWORKDAYS(MAX(IF(OR('Cost Margin'!$B$14="Y",'Cost Margin'!$J27=""),'Cost Margin'!$B$8,'Cost Margin'!$J27),V$5),MIN(IF(OR('Cost Margin'!$B$14="Y",'Cost Margin'!$K27=""),'Cost Margin'!$B$9,'Cost Margin'!$K27),V$6)))))</f>
        <v>0</v>
      </c>
      <c r="W19" s="35" t="n">
        <f aca="false">IF(OR(W$5="",'Cost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Margin'!$K27),W$6)&lt;MAX(IF(OR('Cost Margin'!$B$14="Y",'Cost Margin'!$J27=""),'Cost Margin'!$B$8,'Cost Margin'!$J27),W$5),0,IFERROR(NETWORKDAYS(MAX(IF(OR('Cost Margin'!$B$14="Y",'Cost Margin'!$J27=""),'Cost Margin'!$B$8,'Cost Margin'!$J27),W$5),MIN(IF(OR('Cost Margin'!$B$14="Y",'Cost Margin'!$K27=""),'Cost Margin'!$B$9,'Cost Margin'!$K27),W$6),INDEX(Settings!$A$35:$D$74,0,MATCH('Cost Margin'!$C27,Settings!$A$34:$D$34,0))),NETWORKDAYS(MAX(IF(OR('Cost Margin'!$B$14="Y",'Cost Margin'!$J27=""),'Cost Margin'!$B$8,'Cost Margin'!$J27),W$5),MIN(IF(OR('Cost Margin'!$B$14="Y",'Cost Margin'!$K27=""),'Cost Margin'!$B$9,'Cost Margin'!$K27),W$6)))))</f>
        <v>0</v>
      </c>
      <c r="X19" s="35" t="n">
        <f aca="false">IF(OR(X$5="",'Cost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Margin'!$K27),X$6)&lt;MAX(IF(OR('Cost Margin'!$B$14="Y",'Cost Margin'!$J27=""),'Cost Margin'!$B$8,'Cost Margin'!$J27),X$5),0,IFERROR(NETWORKDAYS(MAX(IF(OR('Cost Margin'!$B$14="Y",'Cost Margin'!$J27=""),'Cost Margin'!$B$8,'Cost Margin'!$J27),X$5),MIN(IF(OR('Cost Margin'!$B$14="Y",'Cost Margin'!$K27=""),'Cost Margin'!$B$9,'Cost Margin'!$K27),X$6),INDEX(Settings!$A$35:$D$74,0,MATCH('Cost Margin'!$C27,Settings!$A$34:$D$34,0))),NETWORKDAYS(MAX(IF(OR('Cost Margin'!$B$14="Y",'Cost Margin'!$J27=""),'Cost Margin'!$B$8,'Cost Margin'!$J27),X$5),MIN(IF(OR('Cost Margin'!$B$14="Y",'Cost Margin'!$K27=""),'Cost Margin'!$B$9,'Cost Margin'!$K27),X$6)))))</f>
        <v>0</v>
      </c>
      <c r="Y19" s="35" t="n">
        <f aca="false">IF(OR(Y$5="",'Cost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Margin'!$K27),Y$6)&lt;MAX(IF(OR('Cost Margin'!$B$14="Y",'Cost Margin'!$J27=""),'Cost Margin'!$B$8,'Cost Margin'!$J27),Y$5),0,IFERROR(NETWORKDAYS(MAX(IF(OR('Cost Margin'!$B$14="Y",'Cost Margin'!$J27=""),'Cost Margin'!$B$8,'Cost Margin'!$J27),Y$5),MIN(IF(OR('Cost Margin'!$B$14="Y",'Cost Margin'!$K27=""),'Cost Margin'!$B$9,'Cost Margin'!$K27),Y$6),INDEX(Settings!$A$35:$D$74,0,MATCH('Cost Margin'!$C27,Settings!$A$34:$D$34,0))),NETWORKDAYS(MAX(IF(OR('Cost Margin'!$B$14="Y",'Cost Margin'!$J27=""),'Cost Margin'!$B$8,'Cost Margin'!$J27),Y$5),MIN(IF(OR('Cost Margin'!$B$14="Y",'Cost Margin'!$K27=""),'Cost Margin'!$B$9,'Cost Margin'!$K27),Y$6)))))</f>
        <v>0</v>
      </c>
      <c r="Z19" s="35" t="n">
        <f aca="false">IF(OR(Z$5="",'Cost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Margin'!$K27),Z$6)&lt;MAX(IF(OR('Cost Margin'!$B$14="Y",'Cost Margin'!$J27=""),'Cost Margin'!$B$8,'Cost Margin'!$J27),Z$5),0,IFERROR(NETWORKDAYS(MAX(IF(OR('Cost Margin'!$B$14="Y",'Cost Margin'!$J27=""),'Cost Margin'!$B$8,'Cost Margin'!$J27),Z$5),MIN(IF(OR('Cost Margin'!$B$14="Y",'Cost Margin'!$K27=""),'Cost Margin'!$B$9,'Cost Margin'!$K27),Z$6),INDEX(Settings!$A$35:$D$74,0,MATCH('Cost Margin'!$C27,Settings!$A$34:$D$34,0))),NETWORKDAYS(MAX(IF(OR('Cost Margin'!$B$14="Y",'Cost Margin'!$J27=""),'Cost Margin'!$B$8,'Cost Margin'!$J27),Z$5),MIN(IF(OR('Cost Margin'!$B$14="Y",'Cost Margin'!$K27=""),'Cost Margin'!$B$9,'Cost Margin'!$K27),Z$6)))))</f>
        <v>0</v>
      </c>
      <c r="AB19" s="34" t="str">
        <f aca="false">IF('Cost Margin'!A27="","",IF('Cost Margin'!E27="","(unassigned)",'Cost Margin'!E27))</f>
        <v/>
      </c>
    </row>
    <row r="20" customFormat="false" ht="15" hidden="false" customHeight="false" outlineLevel="0" collapsed="false">
      <c r="A20" s="0" t="n">
        <v>12</v>
      </c>
      <c r="B20" s="34" t="str">
        <f aca="false">IF('Cost Margin'!A28="","",'Cost Margin'!A28&amp;IF('Cost Margin'!E28="",""," · "&amp;'Cost Margin'!E28))</f>
        <v/>
      </c>
      <c r="C20" s="35" t="n">
        <f aca="false">IF(OR(C$5="",'Cost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Margin'!$K28),C$6)&lt;MAX(IF(OR('Cost Margin'!$B$14="Y",'Cost Margin'!$J28=""),'Cost Margin'!$B$8,'Cost Margin'!$J28),C$5),0,IFERROR(NETWORKDAYS(MAX(IF(OR('Cost Margin'!$B$14="Y",'Cost Margin'!$J28=""),'Cost Margin'!$B$8,'Cost Margin'!$J28),C$5),MIN(IF(OR('Cost Margin'!$B$14="Y",'Cost Margin'!$K28=""),'Cost Margin'!$B$9,'Cost Margin'!$K28),C$6),INDEX(Settings!$A$35:$D$74,0,MATCH('Cost Margin'!$C28,Settings!$A$34:$D$34,0))),NETWORKDAYS(MAX(IF(OR('Cost Margin'!$B$14="Y",'Cost Margin'!$J28=""),'Cost Margin'!$B$8,'Cost Margin'!$J28),C$5),MIN(IF(OR('Cost Margin'!$B$14="Y",'Cost Margin'!$K28=""),'Cost Margin'!$B$9,'Cost Margin'!$K28),C$6)))))</f>
        <v>0</v>
      </c>
      <c r="D20" s="35" t="n">
        <f aca="false">IF(OR(D$5="",'Cost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Margin'!$K28),D$6)&lt;MAX(IF(OR('Cost Margin'!$B$14="Y",'Cost Margin'!$J28=""),'Cost Margin'!$B$8,'Cost Margin'!$J28),D$5),0,IFERROR(NETWORKDAYS(MAX(IF(OR('Cost Margin'!$B$14="Y",'Cost Margin'!$J28=""),'Cost Margin'!$B$8,'Cost Margin'!$J28),D$5),MIN(IF(OR('Cost Margin'!$B$14="Y",'Cost Margin'!$K28=""),'Cost Margin'!$B$9,'Cost Margin'!$K28),D$6),INDEX(Settings!$A$35:$D$74,0,MATCH('Cost Margin'!$C28,Settings!$A$34:$D$34,0))),NETWORKDAYS(MAX(IF(OR('Cost Margin'!$B$14="Y",'Cost Margin'!$J28=""),'Cost Margin'!$B$8,'Cost Margin'!$J28),D$5),MIN(IF(OR('Cost Margin'!$B$14="Y",'Cost Margin'!$K28=""),'Cost Margin'!$B$9,'Cost Margin'!$K28),D$6)))))</f>
        <v>0</v>
      </c>
      <c r="E20" s="35" t="n">
        <f aca="false">IF(OR(E$5="",'Cost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Margin'!$K28),E$6)&lt;MAX(IF(OR('Cost Margin'!$B$14="Y",'Cost Margin'!$J28=""),'Cost Margin'!$B$8,'Cost Margin'!$J28),E$5),0,IFERROR(NETWORKDAYS(MAX(IF(OR('Cost Margin'!$B$14="Y",'Cost Margin'!$J28=""),'Cost Margin'!$B$8,'Cost Margin'!$J28),E$5),MIN(IF(OR('Cost Margin'!$B$14="Y",'Cost Margin'!$K28=""),'Cost Margin'!$B$9,'Cost Margin'!$K28),E$6),INDEX(Settings!$A$35:$D$74,0,MATCH('Cost Margin'!$C28,Settings!$A$34:$D$34,0))),NETWORKDAYS(MAX(IF(OR('Cost Margin'!$B$14="Y",'Cost Margin'!$J28=""),'Cost Margin'!$B$8,'Cost Margin'!$J28),E$5),MIN(IF(OR('Cost Margin'!$B$14="Y",'Cost Margin'!$K28=""),'Cost Margin'!$B$9,'Cost Margin'!$K28),E$6)))))</f>
        <v>0</v>
      </c>
      <c r="F20" s="35" t="n">
        <f aca="false">IF(OR(F$5="",'Cost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Margin'!$K28),F$6)&lt;MAX(IF(OR('Cost Margin'!$B$14="Y",'Cost Margin'!$J28=""),'Cost Margin'!$B$8,'Cost Margin'!$J28),F$5),0,IFERROR(NETWORKDAYS(MAX(IF(OR('Cost Margin'!$B$14="Y",'Cost Margin'!$J28=""),'Cost Margin'!$B$8,'Cost Margin'!$J28),F$5),MIN(IF(OR('Cost Margin'!$B$14="Y",'Cost Margin'!$K28=""),'Cost Margin'!$B$9,'Cost Margin'!$K28),F$6),INDEX(Settings!$A$35:$D$74,0,MATCH('Cost Margin'!$C28,Settings!$A$34:$D$34,0))),NETWORKDAYS(MAX(IF(OR('Cost Margin'!$B$14="Y",'Cost Margin'!$J28=""),'Cost Margin'!$B$8,'Cost Margin'!$J28),F$5),MIN(IF(OR('Cost Margin'!$B$14="Y",'Cost Margin'!$K28=""),'Cost Margin'!$B$9,'Cost Margin'!$K28),F$6)))))</f>
        <v>0</v>
      </c>
      <c r="G20" s="35" t="n">
        <f aca="false">IF(OR(G$5="",'Cost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Margin'!$K28),G$6)&lt;MAX(IF(OR('Cost Margin'!$B$14="Y",'Cost Margin'!$J28=""),'Cost Margin'!$B$8,'Cost Margin'!$J28),G$5),0,IFERROR(NETWORKDAYS(MAX(IF(OR('Cost Margin'!$B$14="Y",'Cost Margin'!$J28=""),'Cost Margin'!$B$8,'Cost Margin'!$J28),G$5),MIN(IF(OR('Cost Margin'!$B$14="Y",'Cost Margin'!$K28=""),'Cost Margin'!$B$9,'Cost Margin'!$K28),G$6),INDEX(Settings!$A$35:$D$74,0,MATCH('Cost Margin'!$C28,Settings!$A$34:$D$34,0))),NETWORKDAYS(MAX(IF(OR('Cost Margin'!$B$14="Y",'Cost Margin'!$J28=""),'Cost Margin'!$B$8,'Cost Margin'!$J28),G$5),MIN(IF(OR('Cost Margin'!$B$14="Y",'Cost Margin'!$K28=""),'Cost Margin'!$B$9,'Cost Margin'!$K28),G$6)))))</f>
        <v>0</v>
      </c>
      <c r="H20" s="35" t="n">
        <f aca="false">IF(OR(H$5="",'Cost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Margin'!$K28),H$6)&lt;MAX(IF(OR('Cost Margin'!$B$14="Y",'Cost Margin'!$J28=""),'Cost Margin'!$B$8,'Cost Margin'!$J28),H$5),0,IFERROR(NETWORKDAYS(MAX(IF(OR('Cost Margin'!$B$14="Y",'Cost Margin'!$J28=""),'Cost Margin'!$B$8,'Cost Margin'!$J28),H$5),MIN(IF(OR('Cost Margin'!$B$14="Y",'Cost Margin'!$K28=""),'Cost Margin'!$B$9,'Cost Margin'!$K28),H$6),INDEX(Settings!$A$35:$D$74,0,MATCH('Cost Margin'!$C28,Settings!$A$34:$D$34,0))),NETWORKDAYS(MAX(IF(OR('Cost Margin'!$B$14="Y",'Cost Margin'!$J28=""),'Cost Margin'!$B$8,'Cost Margin'!$J28),H$5),MIN(IF(OR('Cost Margin'!$B$14="Y",'Cost Margin'!$K28=""),'Cost Margin'!$B$9,'Cost Margin'!$K28),H$6)))))</f>
        <v>0</v>
      </c>
      <c r="I20" s="35" t="n">
        <f aca="false">IF(OR(I$5="",'Cost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Margin'!$K28),I$6)&lt;MAX(IF(OR('Cost Margin'!$B$14="Y",'Cost Margin'!$J28=""),'Cost Margin'!$B$8,'Cost Margin'!$J28),I$5),0,IFERROR(NETWORKDAYS(MAX(IF(OR('Cost Margin'!$B$14="Y",'Cost Margin'!$J28=""),'Cost Margin'!$B$8,'Cost Margin'!$J28),I$5),MIN(IF(OR('Cost Margin'!$B$14="Y",'Cost Margin'!$K28=""),'Cost Margin'!$B$9,'Cost Margin'!$K28),I$6),INDEX(Settings!$A$35:$D$74,0,MATCH('Cost Margin'!$C28,Settings!$A$34:$D$34,0))),NETWORKDAYS(MAX(IF(OR('Cost Margin'!$B$14="Y",'Cost Margin'!$J28=""),'Cost Margin'!$B$8,'Cost Margin'!$J28),I$5),MIN(IF(OR('Cost Margin'!$B$14="Y",'Cost Margin'!$K28=""),'Cost Margin'!$B$9,'Cost Margin'!$K28),I$6)))))</f>
        <v>0</v>
      </c>
      <c r="J20" s="35" t="n">
        <f aca="false">IF(OR(J$5="",'Cost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Margin'!$K28),J$6)&lt;MAX(IF(OR('Cost Margin'!$B$14="Y",'Cost Margin'!$J28=""),'Cost Margin'!$B$8,'Cost Margin'!$J28),J$5),0,IFERROR(NETWORKDAYS(MAX(IF(OR('Cost Margin'!$B$14="Y",'Cost Margin'!$J28=""),'Cost Margin'!$B$8,'Cost Margin'!$J28),J$5),MIN(IF(OR('Cost Margin'!$B$14="Y",'Cost Margin'!$K28=""),'Cost Margin'!$B$9,'Cost Margin'!$K28),J$6),INDEX(Settings!$A$35:$D$74,0,MATCH('Cost Margin'!$C28,Settings!$A$34:$D$34,0))),NETWORKDAYS(MAX(IF(OR('Cost Margin'!$B$14="Y",'Cost Margin'!$J28=""),'Cost Margin'!$B$8,'Cost Margin'!$J28),J$5),MIN(IF(OR('Cost Margin'!$B$14="Y",'Cost Margin'!$K28=""),'Cost Margin'!$B$9,'Cost Margin'!$K28),J$6)))))</f>
        <v>0</v>
      </c>
      <c r="K20" s="35" t="n">
        <f aca="false">IF(OR(K$5="",'Cost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Margin'!$K28),K$6)&lt;MAX(IF(OR('Cost Margin'!$B$14="Y",'Cost Margin'!$J28=""),'Cost Margin'!$B$8,'Cost Margin'!$J28),K$5),0,IFERROR(NETWORKDAYS(MAX(IF(OR('Cost Margin'!$B$14="Y",'Cost Margin'!$J28=""),'Cost Margin'!$B$8,'Cost Margin'!$J28),K$5),MIN(IF(OR('Cost Margin'!$B$14="Y",'Cost Margin'!$K28=""),'Cost Margin'!$B$9,'Cost Margin'!$K28),K$6),INDEX(Settings!$A$35:$D$74,0,MATCH('Cost Margin'!$C28,Settings!$A$34:$D$34,0))),NETWORKDAYS(MAX(IF(OR('Cost Margin'!$B$14="Y",'Cost Margin'!$J28=""),'Cost Margin'!$B$8,'Cost Margin'!$J28),K$5),MIN(IF(OR('Cost Margin'!$B$14="Y",'Cost Margin'!$K28=""),'Cost Margin'!$B$9,'Cost Margin'!$K28),K$6)))))</f>
        <v>0</v>
      </c>
      <c r="L20" s="35" t="n">
        <f aca="false">IF(OR(L$5="",'Cost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Margin'!$K28),L$6)&lt;MAX(IF(OR('Cost Margin'!$B$14="Y",'Cost Margin'!$J28=""),'Cost Margin'!$B$8,'Cost Margin'!$J28),L$5),0,IFERROR(NETWORKDAYS(MAX(IF(OR('Cost Margin'!$B$14="Y",'Cost Margin'!$J28=""),'Cost Margin'!$B$8,'Cost Margin'!$J28),L$5),MIN(IF(OR('Cost Margin'!$B$14="Y",'Cost Margin'!$K28=""),'Cost Margin'!$B$9,'Cost Margin'!$K28),L$6),INDEX(Settings!$A$35:$D$74,0,MATCH('Cost Margin'!$C28,Settings!$A$34:$D$34,0))),NETWORKDAYS(MAX(IF(OR('Cost Margin'!$B$14="Y",'Cost Margin'!$J28=""),'Cost Margin'!$B$8,'Cost Margin'!$J28),L$5),MIN(IF(OR('Cost Margin'!$B$14="Y",'Cost Margin'!$K28=""),'Cost Margin'!$B$9,'Cost Margin'!$K28),L$6)))))</f>
        <v>0</v>
      </c>
      <c r="M20" s="35" t="n">
        <f aca="false">IF(OR(M$5="",'Cost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Margin'!$K28),M$6)&lt;MAX(IF(OR('Cost Margin'!$B$14="Y",'Cost Margin'!$J28=""),'Cost Margin'!$B$8,'Cost Margin'!$J28),M$5),0,IFERROR(NETWORKDAYS(MAX(IF(OR('Cost Margin'!$B$14="Y",'Cost Margin'!$J28=""),'Cost Margin'!$B$8,'Cost Margin'!$J28),M$5),MIN(IF(OR('Cost Margin'!$B$14="Y",'Cost Margin'!$K28=""),'Cost Margin'!$B$9,'Cost Margin'!$K28),M$6),INDEX(Settings!$A$35:$D$74,0,MATCH('Cost Margin'!$C28,Settings!$A$34:$D$34,0))),NETWORKDAYS(MAX(IF(OR('Cost Margin'!$B$14="Y",'Cost Margin'!$J28=""),'Cost Margin'!$B$8,'Cost Margin'!$J28),M$5),MIN(IF(OR('Cost Margin'!$B$14="Y",'Cost Margin'!$K28=""),'Cost Margin'!$B$9,'Cost Margin'!$K28),M$6)))))</f>
        <v>0</v>
      </c>
      <c r="N20" s="35" t="n">
        <f aca="false">IF(OR(N$5="",'Cost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Margin'!$K28),N$6)&lt;MAX(IF(OR('Cost Margin'!$B$14="Y",'Cost Margin'!$J28=""),'Cost Margin'!$B$8,'Cost Margin'!$J28),N$5),0,IFERROR(NETWORKDAYS(MAX(IF(OR('Cost Margin'!$B$14="Y",'Cost Margin'!$J28=""),'Cost Margin'!$B$8,'Cost Margin'!$J28),N$5),MIN(IF(OR('Cost Margin'!$B$14="Y",'Cost Margin'!$K28=""),'Cost Margin'!$B$9,'Cost Margin'!$K28),N$6),INDEX(Settings!$A$35:$D$74,0,MATCH('Cost Margin'!$C28,Settings!$A$34:$D$34,0))),NETWORKDAYS(MAX(IF(OR('Cost Margin'!$B$14="Y",'Cost Margin'!$J28=""),'Cost Margin'!$B$8,'Cost Margin'!$J28),N$5),MIN(IF(OR('Cost Margin'!$B$14="Y",'Cost Margin'!$K28=""),'Cost Margin'!$B$9,'Cost Margin'!$K28),N$6)))))</f>
        <v>0</v>
      </c>
      <c r="O20" s="35" t="n">
        <f aca="false">IF(OR(O$5="",'Cost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Margin'!$K28),O$6)&lt;MAX(IF(OR('Cost Margin'!$B$14="Y",'Cost Margin'!$J28=""),'Cost Margin'!$B$8,'Cost Margin'!$J28),O$5),0,IFERROR(NETWORKDAYS(MAX(IF(OR('Cost Margin'!$B$14="Y",'Cost Margin'!$J28=""),'Cost Margin'!$B$8,'Cost Margin'!$J28),O$5),MIN(IF(OR('Cost Margin'!$B$14="Y",'Cost Margin'!$K28=""),'Cost Margin'!$B$9,'Cost Margin'!$K28),O$6),INDEX(Settings!$A$35:$D$74,0,MATCH('Cost Margin'!$C28,Settings!$A$34:$D$34,0))),NETWORKDAYS(MAX(IF(OR('Cost Margin'!$B$14="Y",'Cost Margin'!$J28=""),'Cost Margin'!$B$8,'Cost Margin'!$J28),O$5),MIN(IF(OR('Cost Margin'!$B$14="Y",'Cost Margin'!$K28=""),'Cost Margin'!$B$9,'Cost Margin'!$K28),O$6)))))</f>
        <v>0</v>
      </c>
      <c r="P20" s="35" t="n">
        <f aca="false">IF(OR(P$5="",'Cost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Margin'!$K28),P$6)&lt;MAX(IF(OR('Cost Margin'!$B$14="Y",'Cost Margin'!$J28=""),'Cost Margin'!$B$8,'Cost Margin'!$J28),P$5),0,IFERROR(NETWORKDAYS(MAX(IF(OR('Cost Margin'!$B$14="Y",'Cost Margin'!$J28=""),'Cost Margin'!$B$8,'Cost Margin'!$J28),P$5),MIN(IF(OR('Cost Margin'!$B$14="Y",'Cost Margin'!$K28=""),'Cost Margin'!$B$9,'Cost Margin'!$K28),P$6),INDEX(Settings!$A$35:$D$74,0,MATCH('Cost Margin'!$C28,Settings!$A$34:$D$34,0))),NETWORKDAYS(MAX(IF(OR('Cost Margin'!$B$14="Y",'Cost Margin'!$J28=""),'Cost Margin'!$B$8,'Cost Margin'!$J28),P$5),MIN(IF(OR('Cost Margin'!$B$14="Y",'Cost Margin'!$K28=""),'Cost Margin'!$B$9,'Cost Margin'!$K28),P$6)))))</f>
        <v>0</v>
      </c>
      <c r="Q20" s="35" t="n">
        <f aca="false">IF(OR(Q$5="",'Cost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Margin'!$K28),Q$6)&lt;MAX(IF(OR('Cost Margin'!$B$14="Y",'Cost Margin'!$J28=""),'Cost Margin'!$B$8,'Cost Margin'!$J28),Q$5),0,IFERROR(NETWORKDAYS(MAX(IF(OR('Cost Margin'!$B$14="Y",'Cost Margin'!$J28=""),'Cost Margin'!$B$8,'Cost Margin'!$J28),Q$5),MIN(IF(OR('Cost Margin'!$B$14="Y",'Cost Margin'!$K28=""),'Cost Margin'!$B$9,'Cost Margin'!$K28),Q$6),INDEX(Settings!$A$35:$D$74,0,MATCH('Cost Margin'!$C28,Settings!$A$34:$D$34,0))),NETWORKDAYS(MAX(IF(OR('Cost Margin'!$B$14="Y",'Cost Margin'!$J28=""),'Cost Margin'!$B$8,'Cost Margin'!$J28),Q$5),MIN(IF(OR('Cost Margin'!$B$14="Y",'Cost Margin'!$K28=""),'Cost Margin'!$B$9,'Cost Margin'!$K28),Q$6)))))</f>
        <v>0</v>
      </c>
      <c r="R20" s="35" t="n">
        <f aca="false">IF(OR(R$5="",'Cost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Margin'!$K28),R$6)&lt;MAX(IF(OR('Cost Margin'!$B$14="Y",'Cost Margin'!$J28=""),'Cost Margin'!$B$8,'Cost Margin'!$J28),R$5),0,IFERROR(NETWORKDAYS(MAX(IF(OR('Cost Margin'!$B$14="Y",'Cost Margin'!$J28=""),'Cost Margin'!$B$8,'Cost Margin'!$J28),R$5),MIN(IF(OR('Cost Margin'!$B$14="Y",'Cost Margin'!$K28=""),'Cost Margin'!$B$9,'Cost Margin'!$K28),R$6),INDEX(Settings!$A$35:$D$74,0,MATCH('Cost Margin'!$C28,Settings!$A$34:$D$34,0))),NETWORKDAYS(MAX(IF(OR('Cost Margin'!$B$14="Y",'Cost Margin'!$J28=""),'Cost Margin'!$B$8,'Cost Margin'!$J28),R$5),MIN(IF(OR('Cost Margin'!$B$14="Y",'Cost Margin'!$K28=""),'Cost Margin'!$B$9,'Cost Margin'!$K28),R$6)))))</f>
        <v>0</v>
      </c>
      <c r="S20" s="35" t="n">
        <f aca="false">IF(OR(S$5="",'Cost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Margin'!$K28),S$6)&lt;MAX(IF(OR('Cost Margin'!$B$14="Y",'Cost Margin'!$J28=""),'Cost Margin'!$B$8,'Cost Margin'!$J28),S$5),0,IFERROR(NETWORKDAYS(MAX(IF(OR('Cost Margin'!$B$14="Y",'Cost Margin'!$J28=""),'Cost Margin'!$B$8,'Cost Margin'!$J28),S$5),MIN(IF(OR('Cost Margin'!$B$14="Y",'Cost Margin'!$K28=""),'Cost Margin'!$B$9,'Cost Margin'!$K28),S$6),INDEX(Settings!$A$35:$D$74,0,MATCH('Cost Margin'!$C28,Settings!$A$34:$D$34,0))),NETWORKDAYS(MAX(IF(OR('Cost Margin'!$B$14="Y",'Cost Margin'!$J28=""),'Cost Margin'!$B$8,'Cost Margin'!$J28),S$5),MIN(IF(OR('Cost Margin'!$B$14="Y",'Cost Margin'!$K28=""),'Cost Margin'!$B$9,'Cost Margin'!$K28),S$6)))))</f>
        <v>0</v>
      </c>
      <c r="T20" s="35" t="n">
        <f aca="false">IF(OR(T$5="",'Cost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Margin'!$K28),T$6)&lt;MAX(IF(OR('Cost Margin'!$B$14="Y",'Cost Margin'!$J28=""),'Cost Margin'!$B$8,'Cost Margin'!$J28),T$5),0,IFERROR(NETWORKDAYS(MAX(IF(OR('Cost Margin'!$B$14="Y",'Cost Margin'!$J28=""),'Cost Margin'!$B$8,'Cost Margin'!$J28),T$5),MIN(IF(OR('Cost Margin'!$B$14="Y",'Cost Margin'!$K28=""),'Cost Margin'!$B$9,'Cost Margin'!$K28),T$6),INDEX(Settings!$A$35:$D$74,0,MATCH('Cost Margin'!$C28,Settings!$A$34:$D$34,0))),NETWORKDAYS(MAX(IF(OR('Cost Margin'!$B$14="Y",'Cost Margin'!$J28=""),'Cost Margin'!$B$8,'Cost Margin'!$J28),T$5),MIN(IF(OR('Cost Margin'!$B$14="Y",'Cost Margin'!$K28=""),'Cost Margin'!$B$9,'Cost Margin'!$K28),T$6)))))</f>
        <v>0</v>
      </c>
      <c r="U20" s="35" t="n">
        <f aca="false">IF(OR(U$5="",'Cost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Margin'!$K28),U$6)&lt;MAX(IF(OR('Cost Margin'!$B$14="Y",'Cost Margin'!$J28=""),'Cost Margin'!$B$8,'Cost Margin'!$J28),U$5),0,IFERROR(NETWORKDAYS(MAX(IF(OR('Cost Margin'!$B$14="Y",'Cost Margin'!$J28=""),'Cost Margin'!$B$8,'Cost Margin'!$J28),U$5),MIN(IF(OR('Cost Margin'!$B$14="Y",'Cost Margin'!$K28=""),'Cost Margin'!$B$9,'Cost Margin'!$K28),U$6),INDEX(Settings!$A$35:$D$74,0,MATCH('Cost Margin'!$C28,Settings!$A$34:$D$34,0))),NETWORKDAYS(MAX(IF(OR('Cost Margin'!$B$14="Y",'Cost Margin'!$J28=""),'Cost Margin'!$B$8,'Cost Margin'!$J28),U$5),MIN(IF(OR('Cost Margin'!$B$14="Y",'Cost Margin'!$K28=""),'Cost Margin'!$B$9,'Cost Margin'!$K28),U$6)))))</f>
        <v>0</v>
      </c>
      <c r="V20" s="35" t="n">
        <f aca="false">IF(OR(V$5="",'Cost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Margin'!$K28),V$6)&lt;MAX(IF(OR('Cost Margin'!$B$14="Y",'Cost Margin'!$J28=""),'Cost Margin'!$B$8,'Cost Margin'!$J28),V$5),0,IFERROR(NETWORKDAYS(MAX(IF(OR('Cost Margin'!$B$14="Y",'Cost Margin'!$J28=""),'Cost Margin'!$B$8,'Cost Margin'!$J28),V$5),MIN(IF(OR('Cost Margin'!$B$14="Y",'Cost Margin'!$K28=""),'Cost Margin'!$B$9,'Cost Margin'!$K28),V$6),INDEX(Settings!$A$35:$D$74,0,MATCH('Cost Margin'!$C28,Settings!$A$34:$D$34,0))),NETWORKDAYS(MAX(IF(OR('Cost Margin'!$B$14="Y",'Cost Margin'!$J28=""),'Cost Margin'!$B$8,'Cost Margin'!$J28),V$5),MIN(IF(OR('Cost Margin'!$B$14="Y",'Cost Margin'!$K28=""),'Cost Margin'!$B$9,'Cost Margin'!$K28),V$6)))))</f>
        <v>0</v>
      </c>
      <c r="W20" s="35" t="n">
        <f aca="false">IF(OR(W$5="",'Cost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Margin'!$K28),W$6)&lt;MAX(IF(OR('Cost Margin'!$B$14="Y",'Cost Margin'!$J28=""),'Cost Margin'!$B$8,'Cost Margin'!$J28),W$5),0,IFERROR(NETWORKDAYS(MAX(IF(OR('Cost Margin'!$B$14="Y",'Cost Margin'!$J28=""),'Cost Margin'!$B$8,'Cost Margin'!$J28),W$5),MIN(IF(OR('Cost Margin'!$B$14="Y",'Cost Margin'!$K28=""),'Cost Margin'!$B$9,'Cost Margin'!$K28),W$6),INDEX(Settings!$A$35:$D$74,0,MATCH('Cost Margin'!$C28,Settings!$A$34:$D$34,0))),NETWORKDAYS(MAX(IF(OR('Cost Margin'!$B$14="Y",'Cost Margin'!$J28=""),'Cost Margin'!$B$8,'Cost Margin'!$J28),W$5),MIN(IF(OR('Cost Margin'!$B$14="Y",'Cost Margin'!$K28=""),'Cost Margin'!$B$9,'Cost Margin'!$K28),W$6)))))</f>
        <v>0</v>
      </c>
      <c r="X20" s="35" t="n">
        <f aca="false">IF(OR(X$5="",'Cost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Margin'!$K28),X$6)&lt;MAX(IF(OR('Cost Margin'!$B$14="Y",'Cost Margin'!$J28=""),'Cost Margin'!$B$8,'Cost Margin'!$J28),X$5),0,IFERROR(NETWORKDAYS(MAX(IF(OR('Cost Margin'!$B$14="Y",'Cost Margin'!$J28=""),'Cost Margin'!$B$8,'Cost Margin'!$J28),X$5),MIN(IF(OR('Cost Margin'!$B$14="Y",'Cost Margin'!$K28=""),'Cost Margin'!$B$9,'Cost Margin'!$K28),X$6),INDEX(Settings!$A$35:$D$74,0,MATCH('Cost Margin'!$C28,Settings!$A$34:$D$34,0))),NETWORKDAYS(MAX(IF(OR('Cost Margin'!$B$14="Y",'Cost Margin'!$J28=""),'Cost Margin'!$B$8,'Cost Margin'!$J28),X$5),MIN(IF(OR('Cost Margin'!$B$14="Y",'Cost Margin'!$K28=""),'Cost Margin'!$B$9,'Cost Margin'!$K28),X$6)))))</f>
        <v>0</v>
      </c>
      <c r="Y20" s="35" t="n">
        <f aca="false">IF(OR(Y$5="",'Cost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Margin'!$K28),Y$6)&lt;MAX(IF(OR('Cost Margin'!$B$14="Y",'Cost Margin'!$J28=""),'Cost Margin'!$B$8,'Cost Margin'!$J28),Y$5),0,IFERROR(NETWORKDAYS(MAX(IF(OR('Cost Margin'!$B$14="Y",'Cost Margin'!$J28=""),'Cost Margin'!$B$8,'Cost Margin'!$J28),Y$5),MIN(IF(OR('Cost Margin'!$B$14="Y",'Cost Margin'!$K28=""),'Cost Margin'!$B$9,'Cost Margin'!$K28),Y$6),INDEX(Settings!$A$35:$D$74,0,MATCH('Cost Margin'!$C28,Settings!$A$34:$D$34,0))),NETWORKDAYS(MAX(IF(OR('Cost Margin'!$B$14="Y",'Cost Margin'!$J28=""),'Cost Margin'!$B$8,'Cost Margin'!$J28),Y$5),MIN(IF(OR('Cost Margin'!$B$14="Y",'Cost Margin'!$K28=""),'Cost Margin'!$B$9,'Cost Margin'!$K28),Y$6)))))</f>
        <v>0</v>
      </c>
      <c r="Z20" s="35" t="n">
        <f aca="false">IF(OR(Z$5="",'Cost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Margin'!$K28),Z$6)&lt;MAX(IF(OR('Cost Margin'!$B$14="Y",'Cost Margin'!$J28=""),'Cost Margin'!$B$8,'Cost Margin'!$J28),Z$5),0,IFERROR(NETWORKDAYS(MAX(IF(OR('Cost Margin'!$B$14="Y",'Cost Margin'!$J28=""),'Cost Margin'!$B$8,'Cost Margin'!$J28),Z$5),MIN(IF(OR('Cost Margin'!$B$14="Y",'Cost Margin'!$K28=""),'Cost Margin'!$B$9,'Cost Margin'!$K28),Z$6),INDEX(Settings!$A$35:$D$74,0,MATCH('Cost Margin'!$C28,Settings!$A$34:$D$34,0))),NETWORKDAYS(MAX(IF(OR('Cost Margin'!$B$14="Y",'Cost Margin'!$J28=""),'Cost Margin'!$B$8,'Cost Margin'!$J28),Z$5),MIN(IF(OR('Cost Margin'!$B$14="Y",'Cost Margin'!$K28=""),'Cost Margin'!$B$9,'Cost Margin'!$K28),Z$6)))))</f>
        <v>0</v>
      </c>
      <c r="AB20" s="34" t="str">
        <f aca="false">IF('Cost Margin'!A28="","",IF('Cost Margin'!E28="","(unassigned)",'Cost Margin'!E28))</f>
        <v/>
      </c>
    </row>
    <row r="21" customFormat="false" ht="15" hidden="false" customHeight="false" outlineLevel="0" collapsed="false">
      <c r="A21" s="0" t="n">
        <v>13</v>
      </c>
      <c r="B21" s="34" t="str">
        <f aca="false">IF('Cost Margin'!A29="","",'Cost Margin'!A29&amp;IF('Cost Margin'!E29="",""," · "&amp;'Cost Margin'!E29))</f>
        <v/>
      </c>
      <c r="C21" s="35" t="n">
        <f aca="false">IF(OR(C$5="",'Cost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Margin'!$K29),C$6)&lt;MAX(IF(OR('Cost Margin'!$B$14="Y",'Cost Margin'!$J29=""),'Cost Margin'!$B$8,'Cost Margin'!$J29),C$5),0,IFERROR(NETWORKDAYS(MAX(IF(OR('Cost Margin'!$B$14="Y",'Cost Margin'!$J29=""),'Cost Margin'!$B$8,'Cost Margin'!$J29),C$5),MIN(IF(OR('Cost Margin'!$B$14="Y",'Cost Margin'!$K29=""),'Cost Margin'!$B$9,'Cost Margin'!$K29),C$6),INDEX(Settings!$A$35:$D$74,0,MATCH('Cost Margin'!$C29,Settings!$A$34:$D$34,0))),NETWORKDAYS(MAX(IF(OR('Cost Margin'!$B$14="Y",'Cost Margin'!$J29=""),'Cost Margin'!$B$8,'Cost Margin'!$J29),C$5),MIN(IF(OR('Cost Margin'!$B$14="Y",'Cost Margin'!$K29=""),'Cost Margin'!$B$9,'Cost Margin'!$K29),C$6)))))</f>
        <v>0</v>
      </c>
      <c r="D21" s="35" t="n">
        <f aca="false">IF(OR(D$5="",'Cost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Margin'!$K29),D$6)&lt;MAX(IF(OR('Cost Margin'!$B$14="Y",'Cost Margin'!$J29=""),'Cost Margin'!$B$8,'Cost Margin'!$J29),D$5),0,IFERROR(NETWORKDAYS(MAX(IF(OR('Cost Margin'!$B$14="Y",'Cost Margin'!$J29=""),'Cost Margin'!$B$8,'Cost Margin'!$J29),D$5),MIN(IF(OR('Cost Margin'!$B$14="Y",'Cost Margin'!$K29=""),'Cost Margin'!$B$9,'Cost Margin'!$K29),D$6),INDEX(Settings!$A$35:$D$74,0,MATCH('Cost Margin'!$C29,Settings!$A$34:$D$34,0))),NETWORKDAYS(MAX(IF(OR('Cost Margin'!$B$14="Y",'Cost Margin'!$J29=""),'Cost Margin'!$B$8,'Cost Margin'!$J29),D$5),MIN(IF(OR('Cost Margin'!$B$14="Y",'Cost Margin'!$K29=""),'Cost Margin'!$B$9,'Cost Margin'!$K29),D$6)))))</f>
        <v>0</v>
      </c>
      <c r="E21" s="35" t="n">
        <f aca="false">IF(OR(E$5="",'Cost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Margin'!$K29),E$6)&lt;MAX(IF(OR('Cost Margin'!$B$14="Y",'Cost Margin'!$J29=""),'Cost Margin'!$B$8,'Cost Margin'!$J29),E$5),0,IFERROR(NETWORKDAYS(MAX(IF(OR('Cost Margin'!$B$14="Y",'Cost Margin'!$J29=""),'Cost Margin'!$B$8,'Cost Margin'!$J29),E$5),MIN(IF(OR('Cost Margin'!$B$14="Y",'Cost Margin'!$K29=""),'Cost Margin'!$B$9,'Cost Margin'!$K29),E$6),INDEX(Settings!$A$35:$D$74,0,MATCH('Cost Margin'!$C29,Settings!$A$34:$D$34,0))),NETWORKDAYS(MAX(IF(OR('Cost Margin'!$B$14="Y",'Cost Margin'!$J29=""),'Cost Margin'!$B$8,'Cost Margin'!$J29),E$5),MIN(IF(OR('Cost Margin'!$B$14="Y",'Cost Margin'!$K29=""),'Cost Margin'!$B$9,'Cost Margin'!$K29),E$6)))))</f>
        <v>0</v>
      </c>
      <c r="F21" s="35" t="n">
        <f aca="false">IF(OR(F$5="",'Cost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Margin'!$K29),F$6)&lt;MAX(IF(OR('Cost Margin'!$B$14="Y",'Cost Margin'!$J29=""),'Cost Margin'!$B$8,'Cost Margin'!$J29),F$5),0,IFERROR(NETWORKDAYS(MAX(IF(OR('Cost Margin'!$B$14="Y",'Cost Margin'!$J29=""),'Cost Margin'!$B$8,'Cost Margin'!$J29),F$5),MIN(IF(OR('Cost Margin'!$B$14="Y",'Cost Margin'!$K29=""),'Cost Margin'!$B$9,'Cost Margin'!$K29),F$6),INDEX(Settings!$A$35:$D$74,0,MATCH('Cost Margin'!$C29,Settings!$A$34:$D$34,0))),NETWORKDAYS(MAX(IF(OR('Cost Margin'!$B$14="Y",'Cost Margin'!$J29=""),'Cost Margin'!$B$8,'Cost Margin'!$J29),F$5),MIN(IF(OR('Cost Margin'!$B$14="Y",'Cost Margin'!$K29=""),'Cost Margin'!$B$9,'Cost Margin'!$K29),F$6)))))</f>
        <v>0</v>
      </c>
      <c r="G21" s="35" t="n">
        <f aca="false">IF(OR(G$5="",'Cost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Margin'!$K29),G$6)&lt;MAX(IF(OR('Cost Margin'!$B$14="Y",'Cost Margin'!$J29=""),'Cost Margin'!$B$8,'Cost Margin'!$J29),G$5),0,IFERROR(NETWORKDAYS(MAX(IF(OR('Cost Margin'!$B$14="Y",'Cost Margin'!$J29=""),'Cost Margin'!$B$8,'Cost Margin'!$J29),G$5),MIN(IF(OR('Cost Margin'!$B$14="Y",'Cost Margin'!$K29=""),'Cost Margin'!$B$9,'Cost Margin'!$K29),G$6),INDEX(Settings!$A$35:$D$74,0,MATCH('Cost Margin'!$C29,Settings!$A$34:$D$34,0))),NETWORKDAYS(MAX(IF(OR('Cost Margin'!$B$14="Y",'Cost Margin'!$J29=""),'Cost Margin'!$B$8,'Cost Margin'!$J29),G$5),MIN(IF(OR('Cost Margin'!$B$14="Y",'Cost Margin'!$K29=""),'Cost Margin'!$B$9,'Cost Margin'!$K29),G$6)))))</f>
        <v>0</v>
      </c>
      <c r="H21" s="35" t="n">
        <f aca="false">IF(OR(H$5="",'Cost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Margin'!$K29),H$6)&lt;MAX(IF(OR('Cost Margin'!$B$14="Y",'Cost Margin'!$J29=""),'Cost Margin'!$B$8,'Cost Margin'!$J29),H$5),0,IFERROR(NETWORKDAYS(MAX(IF(OR('Cost Margin'!$B$14="Y",'Cost Margin'!$J29=""),'Cost Margin'!$B$8,'Cost Margin'!$J29),H$5),MIN(IF(OR('Cost Margin'!$B$14="Y",'Cost Margin'!$K29=""),'Cost Margin'!$B$9,'Cost Margin'!$K29),H$6),INDEX(Settings!$A$35:$D$74,0,MATCH('Cost Margin'!$C29,Settings!$A$34:$D$34,0))),NETWORKDAYS(MAX(IF(OR('Cost Margin'!$B$14="Y",'Cost Margin'!$J29=""),'Cost Margin'!$B$8,'Cost Margin'!$J29),H$5),MIN(IF(OR('Cost Margin'!$B$14="Y",'Cost Margin'!$K29=""),'Cost Margin'!$B$9,'Cost Margin'!$K29),H$6)))))</f>
        <v>0</v>
      </c>
      <c r="I21" s="35" t="n">
        <f aca="false">IF(OR(I$5="",'Cost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Margin'!$K29),I$6)&lt;MAX(IF(OR('Cost Margin'!$B$14="Y",'Cost Margin'!$J29=""),'Cost Margin'!$B$8,'Cost Margin'!$J29),I$5),0,IFERROR(NETWORKDAYS(MAX(IF(OR('Cost Margin'!$B$14="Y",'Cost Margin'!$J29=""),'Cost Margin'!$B$8,'Cost Margin'!$J29),I$5),MIN(IF(OR('Cost Margin'!$B$14="Y",'Cost Margin'!$K29=""),'Cost Margin'!$B$9,'Cost Margin'!$K29),I$6),INDEX(Settings!$A$35:$D$74,0,MATCH('Cost Margin'!$C29,Settings!$A$34:$D$34,0))),NETWORKDAYS(MAX(IF(OR('Cost Margin'!$B$14="Y",'Cost Margin'!$J29=""),'Cost Margin'!$B$8,'Cost Margin'!$J29),I$5),MIN(IF(OR('Cost Margin'!$B$14="Y",'Cost Margin'!$K29=""),'Cost Margin'!$B$9,'Cost Margin'!$K29),I$6)))))</f>
        <v>0</v>
      </c>
      <c r="J21" s="35" t="n">
        <f aca="false">IF(OR(J$5="",'Cost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Margin'!$K29),J$6)&lt;MAX(IF(OR('Cost Margin'!$B$14="Y",'Cost Margin'!$J29=""),'Cost Margin'!$B$8,'Cost Margin'!$J29),J$5),0,IFERROR(NETWORKDAYS(MAX(IF(OR('Cost Margin'!$B$14="Y",'Cost Margin'!$J29=""),'Cost Margin'!$B$8,'Cost Margin'!$J29),J$5),MIN(IF(OR('Cost Margin'!$B$14="Y",'Cost Margin'!$K29=""),'Cost Margin'!$B$9,'Cost Margin'!$K29),J$6),INDEX(Settings!$A$35:$D$74,0,MATCH('Cost Margin'!$C29,Settings!$A$34:$D$34,0))),NETWORKDAYS(MAX(IF(OR('Cost Margin'!$B$14="Y",'Cost Margin'!$J29=""),'Cost Margin'!$B$8,'Cost Margin'!$J29),J$5),MIN(IF(OR('Cost Margin'!$B$14="Y",'Cost Margin'!$K29=""),'Cost Margin'!$B$9,'Cost Margin'!$K29),J$6)))))</f>
        <v>0</v>
      </c>
      <c r="K21" s="35" t="n">
        <f aca="false">IF(OR(K$5="",'Cost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Margin'!$K29),K$6)&lt;MAX(IF(OR('Cost Margin'!$B$14="Y",'Cost Margin'!$J29=""),'Cost Margin'!$B$8,'Cost Margin'!$J29),K$5),0,IFERROR(NETWORKDAYS(MAX(IF(OR('Cost Margin'!$B$14="Y",'Cost Margin'!$J29=""),'Cost Margin'!$B$8,'Cost Margin'!$J29),K$5),MIN(IF(OR('Cost Margin'!$B$14="Y",'Cost Margin'!$K29=""),'Cost Margin'!$B$9,'Cost Margin'!$K29),K$6),INDEX(Settings!$A$35:$D$74,0,MATCH('Cost Margin'!$C29,Settings!$A$34:$D$34,0))),NETWORKDAYS(MAX(IF(OR('Cost Margin'!$B$14="Y",'Cost Margin'!$J29=""),'Cost Margin'!$B$8,'Cost Margin'!$J29),K$5),MIN(IF(OR('Cost Margin'!$B$14="Y",'Cost Margin'!$K29=""),'Cost Margin'!$B$9,'Cost Margin'!$K29),K$6)))))</f>
        <v>0</v>
      </c>
      <c r="L21" s="35" t="n">
        <f aca="false">IF(OR(L$5="",'Cost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Margin'!$K29),L$6)&lt;MAX(IF(OR('Cost Margin'!$B$14="Y",'Cost Margin'!$J29=""),'Cost Margin'!$B$8,'Cost Margin'!$J29),L$5),0,IFERROR(NETWORKDAYS(MAX(IF(OR('Cost Margin'!$B$14="Y",'Cost Margin'!$J29=""),'Cost Margin'!$B$8,'Cost Margin'!$J29),L$5),MIN(IF(OR('Cost Margin'!$B$14="Y",'Cost Margin'!$K29=""),'Cost Margin'!$B$9,'Cost Margin'!$K29),L$6),INDEX(Settings!$A$35:$D$74,0,MATCH('Cost Margin'!$C29,Settings!$A$34:$D$34,0))),NETWORKDAYS(MAX(IF(OR('Cost Margin'!$B$14="Y",'Cost Margin'!$J29=""),'Cost Margin'!$B$8,'Cost Margin'!$J29),L$5),MIN(IF(OR('Cost Margin'!$B$14="Y",'Cost Margin'!$K29=""),'Cost Margin'!$B$9,'Cost Margin'!$K29),L$6)))))</f>
        <v>0</v>
      </c>
      <c r="M21" s="35" t="n">
        <f aca="false">IF(OR(M$5="",'Cost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Margin'!$K29),M$6)&lt;MAX(IF(OR('Cost Margin'!$B$14="Y",'Cost Margin'!$J29=""),'Cost Margin'!$B$8,'Cost Margin'!$J29),M$5),0,IFERROR(NETWORKDAYS(MAX(IF(OR('Cost Margin'!$B$14="Y",'Cost Margin'!$J29=""),'Cost Margin'!$B$8,'Cost Margin'!$J29),M$5),MIN(IF(OR('Cost Margin'!$B$14="Y",'Cost Margin'!$K29=""),'Cost Margin'!$B$9,'Cost Margin'!$K29),M$6),INDEX(Settings!$A$35:$D$74,0,MATCH('Cost Margin'!$C29,Settings!$A$34:$D$34,0))),NETWORKDAYS(MAX(IF(OR('Cost Margin'!$B$14="Y",'Cost Margin'!$J29=""),'Cost Margin'!$B$8,'Cost Margin'!$J29),M$5),MIN(IF(OR('Cost Margin'!$B$14="Y",'Cost Margin'!$K29=""),'Cost Margin'!$B$9,'Cost Margin'!$K29),M$6)))))</f>
        <v>0</v>
      </c>
      <c r="N21" s="35" t="n">
        <f aca="false">IF(OR(N$5="",'Cost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Margin'!$K29),N$6)&lt;MAX(IF(OR('Cost Margin'!$B$14="Y",'Cost Margin'!$J29=""),'Cost Margin'!$B$8,'Cost Margin'!$J29),N$5),0,IFERROR(NETWORKDAYS(MAX(IF(OR('Cost Margin'!$B$14="Y",'Cost Margin'!$J29=""),'Cost Margin'!$B$8,'Cost Margin'!$J29),N$5),MIN(IF(OR('Cost Margin'!$B$14="Y",'Cost Margin'!$K29=""),'Cost Margin'!$B$9,'Cost Margin'!$K29),N$6),INDEX(Settings!$A$35:$D$74,0,MATCH('Cost Margin'!$C29,Settings!$A$34:$D$34,0))),NETWORKDAYS(MAX(IF(OR('Cost Margin'!$B$14="Y",'Cost Margin'!$J29=""),'Cost Margin'!$B$8,'Cost Margin'!$J29),N$5),MIN(IF(OR('Cost Margin'!$B$14="Y",'Cost Margin'!$K29=""),'Cost Margin'!$B$9,'Cost Margin'!$K29),N$6)))))</f>
        <v>0</v>
      </c>
      <c r="O21" s="35" t="n">
        <f aca="false">IF(OR(O$5="",'Cost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Margin'!$K29),O$6)&lt;MAX(IF(OR('Cost Margin'!$B$14="Y",'Cost Margin'!$J29=""),'Cost Margin'!$B$8,'Cost Margin'!$J29),O$5),0,IFERROR(NETWORKDAYS(MAX(IF(OR('Cost Margin'!$B$14="Y",'Cost Margin'!$J29=""),'Cost Margin'!$B$8,'Cost Margin'!$J29),O$5),MIN(IF(OR('Cost Margin'!$B$14="Y",'Cost Margin'!$K29=""),'Cost Margin'!$B$9,'Cost Margin'!$K29),O$6),INDEX(Settings!$A$35:$D$74,0,MATCH('Cost Margin'!$C29,Settings!$A$34:$D$34,0))),NETWORKDAYS(MAX(IF(OR('Cost Margin'!$B$14="Y",'Cost Margin'!$J29=""),'Cost Margin'!$B$8,'Cost Margin'!$J29),O$5),MIN(IF(OR('Cost Margin'!$B$14="Y",'Cost Margin'!$K29=""),'Cost Margin'!$B$9,'Cost Margin'!$K29),O$6)))))</f>
        <v>0</v>
      </c>
      <c r="P21" s="35" t="n">
        <f aca="false">IF(OR(P$5="",'Cost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Margin'!$K29),P$6)&lt;MAX(IF(OR('Cost Margin'!$B$14="Y",'Cost Margin'!$J29=""),'Cost Margin'!$B$8,'Cost Margin'!$J29),P$5),0,IFERROR(NETWORKDAYS(MAX(IF(OR('Cost Margin'!$B$14="Y",'Cost Margin'!$J29=""),'Cost Margin'!$B$8,'Cost Margin'!$J29),P$5),MIN(IF(OR('Cost Margin'!$B$14="Y",'Cost Margin'!$K29=""),'Cost Margin'!$B$9,'Cost Margin'!$K29),P$6),INDEX(Settings!$A$35:$D$74,0,MATCH('Cost Margin'!$C29,Settings!$A$34:$D$34,0))),NETWORKDAYS(MAX(IF(OR('Cost Margin'!$B$14="Y",'Cost Margin'!$J29=""),'Cost Margin'!$B$8,'Cost Margin'!$J29),P$5),MIN(IF(OR('Cost Margin'!$B$14="Y",'Cost Margin'!$K29=""),'Cost Margin'!$B$9,'Cost Margin'!$K29),P$6)))))</f>
        <v>0</v>
      </c>
      <c r="Q21" s="35" t="n">
        <f aca="false">IF(OR(Q$5="",'Cost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Margin'!$K29),Q$6)&lt;MAX(IF(OR('Cost Margin'!$B$14="Y",'Cost Margin'!$J29=""),'Cost Margin'!$B$8,'Cost Margin'!$J29),Q$5),0,IFERROR(NETWORKDAYS(MAX(IF(OR('Cost Margin'!$B$14="Y",'Cost Margin'!$J29=""),'Cost Margin'!$B$8,'Cost Margin'!$J29),Q$5),MIN(IF(OR('Cost Margin'!$B$14="Y",'Cost Margin'!$K29=""),'Cost Margin'!$B$9,'Cost Margin'!$K29),Q$6),INDEX(Settings!$A$35:$D$74,0,MATCH('Cost Margin'!$C29,Settings!$A$34:$D$34,0))),NETWORKDAYS(MAX(IF(OR('Cost Margin'!$B$14="Y",'Cost Margin'!$J29=""),'Cost Margin'!$B$8,'Cost Margin'!$J29),Q$5),MIN(IF(OR('Cost Margin'!$B$14="Y",'Cost Margin'!$K29=""),'Cost Margin'!$B$9,'Cost Margin'!$K29),Q$6)))))</f>
        <v>0</v>
      </c>
      <c r="R21" s="35" t="n">
        <f aca="false">IF(OR(R$5="",'Cost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Margin'!$K29),R$6)&lt;MAX(IF(OR('Cost Margin'!$B$14="Y",'Cost Margin'!$J29=""),'Cost Margin'!$B$8,'Cost Margin'!$J29),R$5),0,IFERROR(NETWORKDAYS(MAX(IF(OR('Cost Margin'!$B$14="Y",'Cost Margin'!$J29=""),'Cost Margin'!$B$8,'Cost Margin'!$J29),R$5),MIN(IF(OR('Cost Margin'!$B$14="Y",'Cost Margin'!$K29=""),'Cost Margin'!$B$9,'Cost Margin'!$K29),R$6),INDEX(Settings!$A$35:$D$74,0,MATCH('Cost Margin'!$C29,Settings!$A$34:$D$34,0))),NETWORKDAYS(MAX(IF(OR('Cost Margin'!$B$14="Y",'Cost Margin'!$J29=""),'Cost Margin'!$B$8,'Cost Margin'!$J29),R$5),MIN(IF(OR('Cost Margin'!$B$14="Y",'Cost Margin'!$K29=""),'Cost Margin'!$B$9,'Cost Margin'!$K29),R$6)))))</f>
        <v>0</v>
      </c>
      <c r="S21" s="35" t="n">
        <f aca="false">IF(OR(S$5="",'Cost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Margin'!$K29),S$6)&lt;MAX(IF(OR('Cost Margin'!$B$14="Y",'Cost Margin'!$J29=""),'Cost Margin'!$B$8,'Cost Margin'!$J29),S$5),0,IFERROR(NETWORKDAYS(MAX(IF(OR('Cost Margin'!$B$14="Y",'Cost Margin'!$J29=""),'Cost Margin'!$B$8,'Cost Margin'!$J29),S$5),MIN(IF(OR('Cost Margin'!$B$14="Y",'Cost Margin'!$K29=""),'Cost Margin'!$B$9,'Cost Margin'!$K29),S$6),INDEX(Settings!$A$35:$D$74,0,MATCH('Cost Margin'!$C29,Settings!$A$34:$D$34,0))),NETWORKDAYS(MAX(IF(OR('Cost Margin'!$B$14="Y",'Cost Margin'!$J29=""),'Cost Margin'!$B$8,'Cost Margin'!$J29),S$5),MIN(IF(OR('Cost Margin'!$B$14="Y",'Cost Margin'!$K29=""),'Cost Margin'!$B$9,'Cost Margin'!$K29),S$6)))))</f>
        <v>0</v>
      </c>
      <c r="T21" s="35" t="n">
        <f aca="false">IF(OR(T$5="",'Cost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Margin'!$K29),T$6)&lt;MAX(IF(OR('Cost Margin'!$B$14="Y",'Cost Margin'!$J29=""),'Cost Margin'!$B$8,'Cost Margin'!$J29),T$5),0,IFERROR(NETWORKDAYS(MAX(IF(OR('Cost Margin'!$B$14="Y",'Cost Margin'!$J29=""),'Cost Margin'!$B$8,'Cost Margin'!$J29),T$5),MIN(IF(OR('Cost Margin'!$B$14="Y",'Cost Margin'!$K29=""),'Cost Margin'!$B$9,'Cost Margin'!$K29),T$6),INDEX(Settings!$A$35:$D$74,0,MATCH('Cost Margin'!$C29,Settings!$A$34:$D$34,0))),NETWORKDAYS(MAX(IF(OR('Cost Margin'!$B$14="Y",'Cost Margin'!$J29=""),'Cost Margin'!$B$8,'Cost Margin'!$J29),T$5),MIN(IF(OR('Cost Margin'!$B$14="Y",'Cost Margin'!$K29=""),'Cost Margin'!$B$9,'Cost Margin'!$K29),T$6)))))</f>
        <v>0</v>
      </c>
      <c r="U21" s="35" t="n">
        <f aca="false">IF(OR(U$5="",'Cost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Margin'!$K29),U$6)&lt;MAX(IF(OR('Cost Margin'!$B$14="Y",'Cost Margin'!$J29=""),'Cost Margin'!$B$8,'Cost Margin'!$J29),U$5),0,IFERROR(NETWORKDAYS(MAX(IF(OR('Cost Margin'!$B$14="Y",'Cost Margin'!$J29=""),'Cost Margin'!$B$8,'Cost Margin'!$J29),U$5),MIN(IF(OR('Cost Margin'!$B$14="Y",'Cost Margin'!$K29=""),'Cost Margin'!$B$9,'Cost Margin'!$K29),U$6),INDEX(Settings!$A$35:$D$74,0,MATCH('Cost Margin'!$C29,Settings!$A$34:$D$34,0))),NETWORKDAYS(MAX(IF(OR('Cost Margin'!$B$14="Y",'Cost Margin'!$J29=""),'Cost Margin'!$B$8,'Cost Margin'!$J29),U$5),MIN(IF(OR('Cost Margin'!$B$14="Y",'Cost Margin'!$K29=""),'Cost Margin'!$B$9,'Cost Margin'!$K29),U$6)))))</f>
        <v>0</v>
      </c>
      <c r="V21" s="35" t="n">
        <f aca="false">IF(OR(V$5="",'Cost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Margin'!$K29),V$6)&lt;MAX(IF(OR('Cost Margin'!$B$14="Y",'Cost Margin'!$J29=""),'Cost Margin'!$B$8,'Cost Margin'!$J29),V$5),0,IFERROR(NETWORKDAYS(MAX(IF(OR('Cost Margin'!$B$14="Y",'Cost Margin'!$J29=""),'Cost Margin'!$B$8,'Cost Margin'!$J29),V$5),MIN(IF(OR('Cost Margin'!$B$14="Y",'Cost Margin'!$K29=""),'Cost Margin'!$B$9,'Cost Margin'!$K29),V$6),INDEX(Settings!$A$35:$D$74,0,MATCH('Cost Margin'!$C29,Settings!$A$34:$D$34,0))),NETWORKDAYS(MAX(IF(OR('Cost Margin'!$B$14="Y",'Cost Margin'!$J29=""),'Cost Margin'!$B$8,'Cost Margin'!$J29),V$5),MIN(IF(OR('Cost Margin'!$B$14="Y",'Cost Margin'!$K29=""),'Cost Margin'!$B$9,'Cost Margin'!$K29),V$6)))))</f>
        <v>0</v>
      </c>
      <c r="W21" s="35" t="n">
        <f aca="false">IF(OR(W$5="",'Cost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Margin'!$K29),W$6)&lt;MAX(IF(OR('Cost Margin'!$B$14="Y",'Cost Margin'!$J29=""),'Cost Margin'!$B$8,'Cost Margin'!$J29),W$5),0,IFERROR(NETWORKDAYS(MAX(IF(OR('Cost Margin'!$B$14="Y",'Cost Margin'!$J29=""),'Cost Margin'!$B$8,'Cost Margin'!$J29),W$5),MIN(IF(OR('Cost Margin'!$B$14="Y",'Cost Margin'!$K29=""),'Cost Margin'!$B$9,'Cost Margin'!$K29),W$6),INDEX(Settings!$A$35:$D$74,0,MATCH('Cost Margin'!$C29,Settings!$A$34:$D$34,0))),NETWORKDAYS(MAX(IF(OR('Cost Margin'!$B$14="Y",'Cost Margin'!$J29=""),'Cost Margin'!$B$8,'Cost Margin'!$J29),W$5),MIN(IF(OR('Cost Margin'!$B$14="Y",'Cost Margin'!$K29=""),'Cost Margin'!$B$9,'Cost Margin'!$K29),W$6)))))</f>
        <v>0</v>
      </c>
      <c r="X21" s="35" t="n">
        <f aca="false">IF(OR(X$5="",'Cost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Margin'!$K29),X$6)&lt;MAX(IF(OR('Cost Margin'!$B$14="Y",'Cost Margin'!$J29=""),'Cost Margin'!$B$8,'Cost Margin'!$J29),X$5),0,IFERROR(NETWORKDAYS(MAX(IF(OR('Cost Margin'!$B$14="Y",'Cost Margin'!$J29=""),'Cost Margin'!$B$8,'Cost Margin'!$J29),X$5),MIN(IF(OR('Cost Margin'!$B$14="Y",'Cost Margin'!$K29=""),'Cost Margin'!$B$9,'Cost Margin'!$K29),X$6),INDEX(Settings!$A$35:$D$74,0,MATCH('Cost Margin'!$C29,Settings!$A$34:$D$34,0))),NETWORKDAYS(MAX(IF(OR('Cost Margin'!$B$14="Y",'Cost Margin'!$J29=""),'Cost Margin'!$B$8,'Cost Margin'!$J29),X$5),MIN(IF(OR('Cost Margin'!$B$14="Y",'Cost Margin'!$K29=""),'Cost Margin'!$B$9,'Cost Margin'!$K29),X$6)))))</f>
        <v>0</v>
      </c>
      <c r="Y21" s="35" t="n">
        <f aca="false">IF(OR(Y$5="",'Cost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Margin'!$K29),Y$6)&lt;MAX(IF(OR('Cost Margin'!$B$14="Y",'Cost Margin'!$J29=""),'Cost Margin'!$B$8,'Cost Margin'!$J29),Y$5),0,IFERROR(NETWORKDAYS(MAX(IF(OR('Cost Margin'!$B$14="Y",'Cost Margin'!$J29=""),'Cost Margin'!$B$8,'Cost Margin'!$J29),Y$5),MIN(IF(OR('Cost Margin'!$B$14="Y",'Cost Margin'!$K29=""),'Cost Margin'!$B$9,'Cost Margin'!$K29),Y$6),INDEX(Settings!$A$35:$D$74,0,MATCH('Cost Margin'!$C29,Settings!$A$34:$D$34,0))),NETWORKDAYS(MAX(IF(OR('Cost Margin'!$B$14="Y",'Cost Margin'!$J29=""),'Cost Margin'!$B$8,'Cost Margin'!$J29),Y$5),MIN(IF(OR('Cost Margin'!$B$14="Y",'Cost Margin'!$K29=""),'Cost Margin'!$B$9,'Cost Margin'!$K29),Y$6)))))</f>
        <v>0</v>
      </c>
      <c r="Z21" s="35" t="n">
        <f aca="false">IF(OR(Z$5="",'Cost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Margin'!$K29),Z$6)&lt;MAX(IF(OR('Cost Margin'!$B$14="Y",'Cost Margin'!$J29=""),'Cost Margin'!$B$8,'Cost Margin'!$J29),Z$5),0,IFERROR(NETWORKDAYS(MAX(IF(OR('Cost Margin'!$B$14="Y",'Cost Margin'!$J29=""),'Cost Margin'!$B$8,'Cost Margin'!$J29),Z$5),MIN(IF(OR('Cost Margin'!$B$14="Y",'Cost Margin'!$K29=""),'Cost Margin'!$B$9,'Cost Margin'!$K29),Z$6),INDEX(Settings!$A$35:$D$74,0,MATCH('Cost Margin'!$C29,Settings!$A$34:$D$34,0))),NETWORKDAYS(MAX(IF(OR('Cost Margin'!$B$14="Y",'Cost Margin'!$J29=""),'Cost Margin'!$B$8,'Cost Margin'!$J29),Z$5),MIN(IF(OR('Cost Margin'!$B$14="Y",'Cost Margin'!$K29=""),'Cost Margin'!$B$9,'Cost Margin'!$K29),Z$6)))))</f>
        <v>0</v>
      </c>
      <c r="AB21" s="34" t="str">
        <f aca="false">IF('Cost Margin'!A29="","",IF('Cost Margin'!E29="","(unassigned)",'Cost Margin'!E29))</f>
        <v/>
      </c>
    </row>
    <row r="22" customFormat="false" ht="15" hidden="false" customHeight="false" outlineLevel="0" collapsed="false">
      <c r="A22" s="0" t="n">
        <v>14</v>
      </c>
      <c r="B22" s="34" t="str">
        <f aca="false">IF('Cost Margin'!A30="","",'Cost Margin'!A30&amp;IF('Cost Margin'!E30="",""," · "&amp;'Cost Margin'!E30))</f>
        <v/>
      </c>
      <c r="C22" s="35" t="n">
        <f aca="false">IF(OR(C$5="",'Cost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Margin'!$K30),C$6)&lt;MAX(IF(OR('Cost Margin'!$B$14="Y",'Cost Margin'!$J30=""),'Cost Margin'!$B$8,'Cost Margin'!$J30),C$5),0,IFERROR(NETWORKDAYS(MAX(IF(OR('Cost Margin'!$B$14="Y",'Cost Margin'!$J30=""),'Cost Margin'!$B$8,'Cost Margin'!$J30),C$5),MIN(IF(OR('Cost Margin'!$B$14="Y",'Cost Margin'!$K30=""),'Cost Margin'!$B$9,'Cost Margin'!$K30),C$6),INDEX(Settings!$A$35:$D$74,0,MATCH('Cost Margin'!$C30,Settings!$A$34:$D$34,0))),NETWORKDAYS(MAX(IF(OR('Cost Margin'!$B$14="Y",'Cost Margin'!$J30=""),'Cost Margin'!$B$8,'Cost Margin'!$J30),C$5),MIN(IF(OR('Cost Margin'!$B$14="Y",'Cost Margin'!$K30=""),'Cost Margin'!$B$9,'Cost Margin'!$K30),C$6)))))</f>
        <v>0</v>
      </c>
      <c r="D22" s="35" t="n">
        <f aca="false">IF(OR(D$5="",'Cost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Margin'!$K30),D$6)&lt;MAX(IF(OR('Cost Margin'!$B$14="Y",'Cost Margin'!$J30=""),'Cost Margin'!$B$8,'Cost Margin'!$J30),D$5),0,IFERROR(NETWORKDAYS(MAX(IF(OR('Cost Margin'!$B$14="Y",'Cost Margin'!$J30=""),'Cost Margin'!$B$8,'Cost Margin'!$J30),D$5),MIN(IF(OR('Cost Margin'!$B$14="Y",'Cost Margin'!$K30=""),'Cost Margin'!$B$9,'Cost Margin'!$K30),D$6),INDEX(Settings!$A$35:$D$74,0,MATCH('Cost Margin'!$C30,Settings!$A$34:$D$34,0))),NETWORKDAYS(MAX(IF(OR('Cost Margin'!$B$14="Y",'Cost Margin'!$J30=""),'Cost Margin'!$B$8,'Cost Margin'!$J30),D$5),MIN(IF(OR('Cost Margin'!$B$14="Y",'Cost Margin'!$K30=""),'Cost Margin'!$B$9,'Cost Margin'!$K30),D$6)))))</f>
        <v>0</v>
      </c>
      <c r="E22" s="35" t="n">
        <f aca="false">IF(OR(E$5="",'Cost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Margin'!$K30),E$6)&lt;MAX(IF(OR('Cost Margin'!$B$14="Y",'Cost Margin'!$J30=""),'Cost Margin'!$B$8,'Cost Margin'!$J30),E$5),0,IFERROR(NETWORKDAYS(MAX(IF(OR('Cost Margin'!$B$14="Y",'Cost Margin'!$J30=""),'Cost Margin'!$B$8,'Cost Margin'!$J30),E$5),MIN(IF(OR('Cost Margin'!$B$14="Y",'Cost Margin'!$K30=""),'Cost Margin'!$B$9,'Cost Margin'!$K30),E$6),INDEX(Settings!$A$35:$D$74,0,MATCH('Cost Margin'!$C30,Settings!$A$34:$D$34,0))),NETWORKDAYS(MAX(IF(OR('Cost Margin'!$B$14="Y",'Cost Margin'!$J30=""),'Cost Margin'!$B$8,'Cost Margin'!$J30),E$5),MIN(IF(OR('Cost Margin'!$B$14="Y",'Cost Margin'!$K30=""),'Cost Margin'!$B$9,'Cost Margin'!$K30),E$6)))))</f>
        <v>0</v>
      </c>
      <c r="F22" s="35" t="n">
        <f aca="false">IF(OR(F$5="",'Cost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Margin'!$K30),F$6)&lt;MAX(IF(OR('Cost Margin'!$B$14="Y",'Cost Margin'!$J30=""),'Cost Margin'!$B$8,'Cost Margin'!$J30),F$5),0,IFERROR(NETWORKDAYS(MAX(IF(OR('Cost Margin'!$B$14="Y",'Cost Margin'!$J30=""),'Cost Margin'!$B$8,'Cost Margin'!$J30),F$5),MIN(IF(OR('Cost Margin'!$B$14="Y",'Cost Margin'!$K30=""),'Cost Margin'!$B$9,'Cost Margin'!$K30),F$6),INDEX(Settings!$A$35:$D$74,0,MATCH('Cost Margin'!$C30,Settings!$A$34:$D$34,0))),NETWORKDAYS(MAX(IF(OR('Cost Margin'!$B$14="Y",'Cost Margin'!$J30=""),'Cost Margin'!$B$8,'Cost Margin'!$J30),F$5),MIN(IF(OR('Cost Margin'!$B$14="Y",'Cost Margin'!$K30=""),'Cost Margin'!$B$9,'Cost Margin'!$K30),F$6)))))</f>
        <v>0</v>
      </c>
      <c r="G22" s="35" t="n">
        <f aca="false">IF(OR(G$5="",'Cost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Margin'!$K30),G$6)&lt;MAX(IF(OR('Cost Margin'!$B$14="Y",'Cost Margin'!$J30=""),'Cost Margin'!$B$8,'Cost Margin'!$J30),G$5),0,IFERROR(NETWORKDAYS(MAX(IF(OR('Cost Margin'!$B$14="Y",'Cost Margin'!$J30=""),'Cost Margin'!$B$8,'Cost Margin'!$J30),G$5),MIN(IF(OR('Cost Margin'!$B$14="Y",'Cost Margin'!$K30=""),'Cost Margin'!$B$9,'Cost Margin'!$K30),G$6),INDEX(Settings!$A$35:$D$74,0,MATCH('Cost Margin'!$C30,Settings!$A$34:$D$34,0))),NETWORKDAYS(MAX(IF(OR('Cost Margin'!$B$14="Y",'Cost Margin'!$J30=""),'Cost Margin'!$B$8,'Cost Margin'!$J30),G$5),MIN(IF(OR('Cost Margin'!$B$14="Y",'Cost Margin'!$K30=""),'Cost Margin'!$B$9,'Cost Margin'!$K30),G$6)))))</f>
        <v>0</v>
      </c>
      <c r="H22" s="35" t="n">
        <f aca="false">IF(OR(H$5="",'Cost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Margin'!$K30),H$6)&lt;MAX(IF(OR('Cost Margin'!$B$14="Y",'Cost Margin'!$J30=""),'Cost Margin'!$B$8,'Cost Margin'!$J30),H$5),0,IFERROR(NETWORKDAYS(MAX(IF(OR('Cost Margin'!$B$14="Y",'Cost Margin'!$J30=""),'Cost Margin'!$B$8,'Cost Margin'!$J30),H$5),MIN(IF(OR('Cost Margin'!$B$14="Y",'Cost Margin'!$K30=""),'Cost Margin'!$B$9,'Cost Margin'!$K30),H$6),INDEX(Settings!$A$35:$D$74,0,MATCH('Cost Margin'!$C30,Settings!$A$34:$D$34,0))),NETWORKDAYS(MAX(IF(OR('Cost Margin'!$B$14="Y",'Cost Margin'!$J30=""),'Cost Margin'!$B$8,'Cost Margin'!$J30),H$5),MIN(IF(OR('Cost Margin'!$B$14="Y",'Cost Margin'!$K30=""),'Cost Margin'!$B$9,'Cost Margin'!$K30),H$6)))))</f>
        <v>0</v>
      </c>
      <c r="I22" s="35" t="n">
        <f aca="false">IF(OR(I$5="",'Cost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Margin'!$K30),I$6)&lt;MAX(IF(OR('Cost Margin'!$B$14="Y",'Cost Margin'!$J30=""),'Cost Margin'!$B$8,'Cost Margin'!$J30),I$5),0,IFERROR(NETWORKDAYS(MAX(IF(OR('Cost Margin'!$B$14="Y",'Cost Margin'!$J30=""),'Cost Margin'!$B$8,'Cost Margin'!$J30),I$5),MIN(IF(OR('Cost Margin'!$B$14="Y",'Cost Margin'!$K30=""),'Cost Margin'!$B$9,'Cost Margin'!$K30),I$6),INDEX(Settings!$A$35:$D$74,0,MATCH('Cost Margin'!$C30,Settings!$A$34:$D$34,0))),NETWORKDAYS(MAX(IF(OR('Cost Margin'!$B$14="Y",'Cost Margin'!$J30=""),'Cost Margin'!$B$8,'Cost Margin'!$J30),I$5),MIN(IF(OR('Cost Margin'!$B$14="Y",'Cost Margin'!$K30=""),'Cost Margin'!$B$9,'Cost Margin'!$K30),I$6)))))</f>
        <v>0</v>
      </c>
      <c r="J22" s="35" t="n">
        <f aca="false">IF(OR(J$5="",'Cost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Margin'!$K30),J$6)&lt;MAX(IF(OR('Cost Margin'!$B$14="Y",'Cost Margin'!$J30=""),'Cost Margin'!$B$8,'Cost Margin'!$J30),J$5),0,IFERROR(NETWORKDAYS(MAX(IF(OR('Cost Margin'!$B$14="Y",'Cost Margin'!$J30=""),'Cost Margin'!$B$8,'Cost Margin'!$J30),J$5),MIN(IF(OR('Cost Margin'!$B$14="Y",'Cost Margin'!$K30=""),'Cost Margin'!$B$9,'Cost Margin'!$K30),J$6),INDEX(Settings!$A$35:$D$74,0,MATCH('Cost Margin'!$C30,Settings!$A$34:$D$34,0))),NETWORKDAYS(MAX(IF(OR('Cost Margin'!$B$14="Y",'Cost Margin'!$J30=""),'Cost Margin'!$B$8,'Cost Margin'!$J30),J$5),MIN(IF(OR('Cost Margin'!$B$14="Y",'Cost Margin'!$K30=""),'Cost Margin'!$B$9,'Cost Margin'!$K30),J$6)))))</f>
        <v>0</v>
      </c>
      <c r="K22" s="35" t="n">
        <f aca="false">IF(OR(K$5="",'Cost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Margin'!$K30),K$6)&lt;MAX(IF(OR('Cost Margin'!$B$14="Y",'Cost Margin'!$J30=""),'Cost Margin'!$B$8,'Cost Margin'!$J30),K$5),0,IFERROR(NETWORKDAYS(MAX(IF(OR('Cost Margin'!$B$14="Y",'Cost Margin'!$J30=""),'Cost Margin'!$B$8,'Cost Margin'!$J30),K$5),MIN(IF(OR('Cost Margin'!$B$14="Y",'Cost Margin'!$K30=""),'Cost Margin'!$B$9,'Cost Margin'!$K30),K$6),INDEX(Settings!$A$35:$D$74,0,MATCH('Cost Margin'!$C30,Settings!$A$34:$D$34,0))),NETWORKDAYS(MAX(IF(OR('Cost Margin'!$B$14="Y",'Cost Margin'!$J30=""),'Cost Margin'!$B$8,'Cost Margin'!$J30),K$5),MIN(IF(OR('Cost Margin'!$B$14="Y",'Cost Margin'!$K30=""),'Cost Margin'!$B$9,'Cost Margin'!$K30),K$6)))))</f>
        <v>0</v>
      </c>
      <c r="L22" s="35" t="n">
        <f aca="false">IF(OR(L$5="",'Cost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Margin'!$K30),L$6)&lt;MAX(IF(OR('Cost Margin'!$B$14="Y",'Cost Margin'!$J30=""),'Cost Margin'!$B$8,'Cost Margin'!$J30),L$5),0,IFERROR(NETWORKDAYS(MAX(IF(OR('Cost Margin'!$B$14="Y",'Cost Margin'!$J30=""),'Cost Margin'!$B$8,'Cost Margin'!$J30),L$5),MIN(IF(OR('Cost Margin'!$B$14="Y",'Cost Margin'!$K30=""),'Cost Margin'!$B$9,'Cost Margin'!$K30),L$6),INDEX(Settings!$A$35:$D$74,0,MATCH('Cost Margin'!$C30,Settings!$A$34:$D$34,0))),NETWORKDAYS(MAX(IF(OR('Cost Margin'!$B$14="Y",'Cost Margin'!$J30=""),'Cost Margin'!$B$8,'Cost Margin'!$J30),L$5),MIN(IF(OR('Cost Margin'!$B$14="Y",'Cost Margin'!$K30=""),'Cost Margin'!$B$9,'Cost Margin'!$K30),L$6)))))</f>
        <v>0</v>
      </c>
      <c r="M22" s="35" t="n">
        <f aca="false">IF(OR(M$5="",'Cost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Margin'!$K30),M$6)&lt;MAX(IF(OR('Cost Margin'!$B$14="Y",'Cost Margin'!$J30=""),'Cost Margin'!$B$8,'Cost Margin'!$J30),M$5),0,IFERROR(NETWORKDAYS(MAX(IF(OR('Cost Margin'!$B$14="Y",'Cost Margin'!$J30=""),'Cost Margin'!$B$8,'Cost Margin'!$J30),M$5),MIN(IF(OR('Cost Margin'!$B$14="Y",'Cost Margin'!$K30=""),'Cost Margin'!$B$9,'Cost Margin'!$K30),M$6),INDEX(Settings!$A$35:$D$74,0,MATCH('Cost Margin'!$C30,Settings!$A$34:$D$34,0))),NETWORKDAYS(MAX(IF(OR('Cost Margin'!$B$14="Y",'Cost Margin'!$J30=""),'Cost Margin'!$B$8,'Cost Margin'!$J30),M$5),MIN(IF(OR('Cost Margin'!$B$14="Y",'Cost Margin'!$K30=""),'Cost Margin'!$B$9,'Cost Margin'!$K30),M$6)))))</f>
        <v>0</v>
      </c>
      <c r="N22" s="35" t="n">
        <f aca="false">IF(OR(N$5="",'Cost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Margin'!$K30),N$6)&lt;MAX(IF(OR('Cost Margin'!$B$14="Y",'Cost Margin'!$J30=""),'Cost Margin'!$B$8,'Cost Margin'!$J30),N$5),0,IFERROR(NETWORKDAYS(MAX(IF(OR('Cost Margin'!$B$14="Y",'Cost Margin'!$J30=""),'Cost Margin'!$B$8,'Cost Margin'!$J30),N$5),MIN(IF(OR('Cost Margin'!$B$14="Y",'Cost Margin'!$K30=""),'Cost Margin'!$B$9,'Cost Margin'!$K30),N$6),INDEX(Settings!$A$35:$D$74,0,MATCH('Cost Margin'!$C30,Settings!$A$34:$D$34,0))),NETWORKDAYS(MAX(IF(OR('Cost Margin'!$B$14="Y",'Cost Margin'!$J30=""),'Cost Margin'!$B$8,'Cost Margin'!$J30),N$5),MIN(IF(OR('Cost Margin'!$B$14="Y",'Cost Margin'!$K30=""),'Cost Margin'!$B$9,'Cost Margin'!$K30),N$6)))))</f>
        <v>0</v>
      </c>
      <c r="O22" s="35" t="n">
        <f aca="false">IF(OR(O$5="",'Cost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Margin'!$K30),O$6)&lt;MAX(IF(OR('Cost Margin'!$B$14="Y",'Cost Margin'!$J30=""),'Cost Margin'!$B$8,'Cost Margin'!$J30),O$5),0,IFERROR(NETWORKDAYS(MAX(IF(OR('Cost Margin'!$B$14="Y",'Cost Margin'!$J30=""),'Cost Margin'!$B$8,'Cost Margin'!$J30),O$5),MIN(IF(OR('Cost Margin'!$B$14="Y",'Cost Margin'!$K30=""),'Cost Margin'!$B$9,'Cost Margin'!$K30),O$6),INDEX(Settings!$A$35:$D$74,0,MATCH('Cost Margin'!$C30,Settings!$A$34:$D$34,0))),NETWORKDAYS(MAX(IF(OR('Cost Margin'!$B$14="Y",'Cost Margin'!$J30=""),'Cost Margin'!$B$8,'Cost Margin'!$J30),O$5),MIN(IF(OR('Cost Margin'!$B$14="Y",'Cost Margin'!$K30=""),'Cost Margin'!$B$9,'Cost Margin'!$K30),O$6)))))</f>
        <v>0</v>
      </c>
      <c r="P22" s="35" t="n">
        <f aca="false">IF(OR(P$5="",'Cost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Margin'!$K30),P$6)&lt;MAX(IF(OR('Cost Margin'!$B$14="Y",'Cost Margin'!$J30=""),'Cost Margin'!$B$8,'Cost Margin'!$J30),P$5),0,IFERROR(NETWORKDAYS(MAX(IF(OR('Cost Margin'!$B$14="Y",'Cost Margin'!$J30=""),'Cost Margin'!$B$8,'Cost Margin'!$J30),P$5),MIN(IF(OR('Cost Margin'!$B$14="Y",'Cost Margin'!$K30=""),'Cost Margin'!$B$9,'Cost Margin'!$K30),P$6),INDEX(Settings!$A$35:$D$74,0,MATCH('Cost Margin'!$C30,Settings!$A$34:$D$34,0))),NETWORKDAYS(MAX(IF(OR('Cost Margin'!$B$14="Y",'Cost Margin'!$J30=""),'Cost Margin'!$B$8,'Cost Margin'!$J30),P$5),MIN(IF(OR('Cost Margin'!$B$14="Y",'Cost Margin'!$K30=""),'Cost Margin'!$B$9,'Cost Margin'!$K30),P$6)))))</f>
        <v>0</v>
      </c>
      <c r="Q22" s="35" t="n">
        <f aca="false">IF(OR(Q$5="",'Cost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Margin'!$K30),Q$6)&lt;MAX(IF(OR('Cost Margin'!$B$14="Y",'Cost Margin'!$J30=""),'Cost Margin'!$B$8,'Cost Margin'!$J30),Q$5),0,IFERROR(NETWORKDAYS(MAX(IF(OR('Cost Margin'!$B$14="Y",'Cost Margin'!$J30=""),'Cost Margin'!$B$8,'Cost Margin'!$J30),Q$5),MIN(IF(OR('Cost Margin'!$B$14="Y",'Cost Margin'!$K30=""),'Cost Margin'!$B$9,'Cost Margin'!$K30),Q$6),INDEX(Settings!$A$35:$D$74,0,MATCH('Cost Margin'!$C30,Settings!$A$34:$D$34,0))),NETWORKDAYS(MAX(IF(OR('Cost Margin'!$B$14="Y",'Cost Margin'!$J30=""),'Cost Margin'!$B$8,'Cost Margin'!$J30),Q$5),MIN(IF(OR('Cost Margin'!$B$14="Y",'Cost Margin'!$K30=""),'Cost Margin'!$B$9,'Cost Margin'!$K30),Q$6)))))</f>
        <v>0</v>
      </c>
      <c r="R22" s="35" t="n">
        <f aca="false">IF(OR(R$5="",'Cost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Margin'!$K30),R$6)&lt;MAX(IF(OR('Cost Margin'!$B$14="Y",'Cost Margin'!$J30=""),'Cost Margin'!$B$8,'Cost Margin'!$J30),R$5),0,IFERROR(NETWORKDAYS(MAX(IF(OR('Cost Margin'!$B$14="Y",'Cost Margin'!$J30=""),'Cost Margin'!$B$8,'Cost Margin'!$J30),R$5),MIN(IF(OR('Cost Margin'!$B$14="Y",'Cost Margin'!$K30=""),'Cost Margin'!$B$9,'Cost Margin'!$K30),R$6),INDEX(Settings!$A$35:$D$74,0,MATCH('Cost Margin'!$C30,Settings!$A$34:$D$34,0))),NETWORKDAYS(MAX(IF(OR('Cost Margin'!$B$14="Y",'Cost Margin'!$J30=""),'Cost Margin'!$B$8,'Cost Margin'!$J30),R$5),MIN(IF(OR('Cost Margin'!$B$14="Y",'Cost Margin'!$K30=""),'Cost Margin'!$B$9,'Cost Margin'!$K30),R$6)))))</f>
        <v>0</v>
      </c>
      <c r="S22" s="35" t="n">
        <f aca="false">IF(OR(S$5="",'Cost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Margin'!$K30),S$6)&lt;MAX(IF(OR('Cost Margin'!$B$14="Y",'Cost Margin'!$J30=""),'Cost Margin'!$B$8,'Cost Margin'!$J30),S$5),0,IFERROR(NETWORKDAYS(MAX(IF(OR('Cost Margin'!$B$14="Y",'Cost Margin'!$J30=""),'Cost Margin'!$B$8,'Cost Margin'!$J30),S$5),MIN(IF(OR('Cost Margin'!$B$14="Y",'Cost Margin'!$K30=""),'Cost Margin'!$B$9,'Cost Margin'!$K30),S$6),INDEX(Settings!$A$35:$D$74,0,MATCH('Cost Margin'!$C30,Settings!$A$34:$D$34,0))),NETWORKDAYS(MAX(IF(OR('Cost Margin'!$B$14="Y",'Cost Margin'!$J30=""),'Cost Margin'!$B$8,'Cost Margin'!$J30),S$5),MIN(IF(OR('Cost Margin'!$B$14="Y",'Cost Margin'!$K30=""),'Cost Margin'!$B$9,'Cost Margin'!$K30),S$6)))))</f>
        <v>0</v>
      </c>
      <c r="T22" s="35" t="n">
        <f aca="false">IF(OR(T$5="",'Cost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Margin'!$K30),T$6)&lt;MAX(IF(OR('Cost Margin'!$B$14="Y",'Cost Margin'!$J30=""),'Cost Margin'!$B$8,'Cost Margin'!$J30),T$5),0,IFERROR(NETWORKDAYS(MAX(IF(OR('Cost Margin'!$B$14="Y",'Cost Margin'!$J30=""),'Cost Margin'!$B$8,'Cost Margin'!$J30),T$5),MIN(IF(OR('Cost Margin'!$B$14="Y",'Cost Margin'!$K30=""),'Cost Margin'!$B$9,'Cost Margin'!$K30),T$6),INDEX(Settings!$A$35:$D$74,0,MATCH('Cost Margin'!$C30,Settings!$A$34:$D$34,0))),NETWORKDAYS(MAX(IF(OR('Cost Margin'!$B$14="Y",'Cost Margin'!$J30=""),'Cost Margin'!$B$8,'Cost Margin'!$J30),T$5),MIN(IF(OR('Cost Margin'!$B$14="Y",'Cost Margin'!$K30=""),'Cost Margin'!$B$9,'Cost Margin'!$K30),T$6)))))</f>
        <v>0</v>
      </c>
      <c r="U22" s="35" t="n">
        <f aca="false">IF(OR(U$5="",'Cost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Margin'!$K30),U$6)&lt;MAX(IF(OR('Cost Margin'!$B$14="Y",'Cost Margin'!$J30=""),'Cost Margin'!$B$8,'Cost Margin'!$J30),U$5),0,IFERROR(NETWORKDAYS(MAX(IF(OR('Cost Margin'!$B$14="Y",'Cost Margin'!$J30=""),'Cost Margin'!$B$8,'Cost Margin'!$J30),U$5),MIN(IF(OR('Cost Margin'!$B$14="Y",'Cost Margin'!$K30=""),'Cost Margin'!$B$9,'Cost Margin'!$K30),U$6),INDEX(Settings!$A$35:$D$74,0,MATCH('Cost Margin'!$C30,Settings!$A$34:$D$34,0))),NETWORKDAYS(MAX(IF(OR('Cost Margin'!$B$14="Y",'Cost Margin'!$J30=""),'Cost Margin'!$B$8,'Cost Margin'!$J30),U$5),MIN(IF(OR('Cost Margin'!$B$14="Y",'Cost Margin'!$K30=""),'Cost Margin'!$B$9,'Cost Margin'!$K30),U$6)))))</f>
        <v>0</v>
      </c>
      <c r="V22" s="35" t="n">
        <f aca="false">IF(OR(V$5="",'Cost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Margin'!$K30),V$6)&lt;MAX(IF(OR('Cost Margin'!$B$14="Y",'Cost Margin'!$J30=""),'Cost Margin'!$B$8,'Cost Margin'!$J30),V$5),0,IFERROR(NETWORKDAYS(MAX(IF(OR('Cost Margin'!$B$14="Y",'Cost Margin'!$J30=""),'Cost Margin'!$B$8,'Cost Margin'!$J30),V$5),MIN(IF(OR('Cost Margin'!$B$14="Y",'Cost Margin'!$K30=""),'Cost Margin'!$B$9,'Cost Margin'!$K30),V$6),INDEX(Settings!$A$35:$D$74,0,MATCH('Cost Margin'!$C30,Settings!$A$34:$D$34,0))),NETWORKDAYS(MAX(IF(OR('Cost Margin'!$B$14="Y",'Cost Margin'!$J30=""),'Cost Margin'!$B$8,'Cost Margin'!$J30),V$5),MIN(IF(OR('Cost Margin'!$B$14="Y",'Cost Margin'!$K30=""),'Cost Margin'!$B$9,'Cost Margin'!$K30),V$6)))))</f>
        <v>0</v>
      </c>
      <c r="W22" s="35" t="n">
        <f aca="false">IF(OR(W$5="",'Cost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Margin'!$K30),W$6)&lt;MAX(IF(OR('Cost Margin'!$B$14="Y",'Cost Margin'!$J30=""),'Cost Margin'!$B$8,'Cost Margin'!$J30),W$5),0,IFERROR(NETWORKDAYS(MAX(IF(OR('Cost Margin'!$B$14="Y",'Cost Margin'!$J30=""),'Cost Margin'!$B$8,'Cost Margin'!$J30),W$5),MIN(IF(OR('Cost Margin'!$B$14="Y",'Cost Margin'!$K30=""),'Cost Margin'!$B$9,'Cost Margin'!$K30),W$6),INDEX(Settings!$A$35:$D$74,0,MATCH('Cost Margin'!$C30,Settings!$A$34:$D$34,0))),NETWORKDAYS(MAX(IF(OR('Cost Margin'!$B$14="Y",'Cost Margin'!$J30=""),'Cost Margin'!$B$8,'Cost Margin'!$J30),W$5),MIN(IF(OR('Cost Margin'!$B$14="Y",'Cost Margin'!$K30=""),'Cost Margin'!$B$9,'Cost Margin'!$K30),W$6)))))</f>
        <v>0</v>
      </c>
      <c r="X22" s="35" t="n">
        <f aca="false">IF(OR(X$5="",'Cost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Margin'!$K30),X$6)&lt;MAX(IF(OR('Cost Margin'!$B$14="Y",'Cost Margin'!$J30=""),'Cost Margin'!$B$8,'Cost Margin'!$J30),X$5),0,IFERROR(NETWORKDAYS(MAX(IF(OR('Cost Margin'!$B$14="Y",'Cost Margin'!$J30=""),'Cost Margin'!$B$8,'Cost Margin'!$J30),X$5),MIN(IF(OR('Cost Margin'!$B$14="Y",'Cost Margin'!$K30=""),'Cost Margin'!$B$9,'Cost Margin'!$K30),X$6),INDEX(Settings!$A$35:$D$74,0,MATCH('Cost Margin'!$C30,Settings!$A$34:$D$34,0))),NETWORKDAYS(MAX(IF(OR('Cost Margin'!$B$14="Y",'Cost Margin'!$J30=""),'Cost Margin'!$B$8,'Cost Margin'!$J30),X$5),MIN(IF(OR('Cost Margin'!$B$14="Y",'Cost Margin'!$K30=""),'Cost Margin'!$B$9,'Cost Margin'!$K30),X$6)))))</f>
        <v>0</v>
      </c>
      <c r="Y22" s="35" t="n">
        <f aca="false">IF(OR(Y$5="",'Cost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Margin'!$K30),Y$6)&lt;MAX(IF(OR('Cost Margin'!$B$14="Y",'Cost Margin'!$J30=""),'Cost Margin'!$B$8,'Cost Margin'!$J30),Y$5),0,IFERROR(NETWORKDAYS(MAX(IF(OR('Cost Margin'!$B$14="Y",'Cost Margin'!$J30=""),'Cost Margin'!$B$8,'Cost Margin'!$J30),Y$5),MIN(IF(OR('Cost Margin'!$B$14="Y",'Cost Margin'!$K30=""),'Cost Margin'!$B$9,'Cost Margin'!$K30),Y$6),INDEX(Settings!$A$35:$D$74,0,MATCH('Cost Margin'!$C30,Settings!$A$34:$D$34,0))),NETWORKDAYS(MAX(IF(OR('Cost Margin'!$B$14="Y",'Cost Margin'!$J30=""),'Cost Margin'!$B$8,'Cost Margin'!$J30),Y$5),MIN(IF(OR('Cost Margin'!$B$14="Y",'Cost Margin'!$K30=""),'Cost Margin'!$B$9,'Cost Margin'!$K30),Y$6)))))</f>
        <v>0</v>
      </c>
      <c r="Z22" s="35" t="n">
        <f aca="false">IF(OR(Z$5="",'Cost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Margin'!$K30),Z$6)&lt;MAX(IF(OR('Cost Margin'!$B$14="Y",'Cost Margin'!$J30=""),'Cost Margin'!$B$8,'Cost Margin'!$J30),Z$5),0,IFERROR(NETWORKDAYS(MAX(IF(OR('Cost Margin'!$B$14="Y",'Cost Margin'!$J30=""),'Cost Margin'!$B$8,'Cost Margin'!$J30),Z$5),MIN(IF(OR('Cost Margin'!$B$14="Y",'Cost Margin'!$K30=""),'Cost Margin'!$B$9,'Cost Margin'!$K30),Z$6),INDEX(Settings!$A$35:$D$74,0,MATCH('Cost Margin'!$C30,Settings!$A$34:$D$34,0))),NETWORKDAYS(MAX(IF(OR('Cost Margin'!$B$14="Y",'Cost Margin'!$J30=""),'Cost Margin'!$B$8,'Cost Margin'!$J30),Z$5),MIN(IF(OR('Cost Margin'!$B$14="Y",'Cost Margin'!$K30=""),'Cost Margin'!$B$9,'Cost Margin'!$K30),Z$6)))))</f>
        <v>0</v>
      </c>
      <c r="AB22" s="34" t="str">
        <f aca="false">IF('Cost Margin'!A30="","",IF('Cost Margin'!E30="","(unassigned)",'Cost Margin'!E30))</f>
        <v/>
      </c>
    </row>
    <row r="23" customFormat="false" ht="15" hidden="false" customHeight="false" outlineLevel="0" collapsed="false">
      <c r="A23" s="0" t="n">
        <v>15</v>
      </c>
      <c r="B23" s="34" t="str">
        <f aca="false">IF('Cost Margin'!A31="","",'Cost Margin'!A31&amp;IF('Cost Margin'!E31="",""," · "&amp;'Cost Margin'!E31))</f>
        <v/>
      </c>
      <c r="C23" s="35" t="n">
        <f aca="false">IF(OR(C$5="",'Cost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Margin'!$K31),C$6)&lt;MAX(IF(OR('Cost Margin'!$B$14="Y",'Cost Margin'!$J31=""),'Cost Margin'!$B$8,'Cost Margin'!$J31),C$5),0,IFERROR(NETWORKDAYS(MAX(IF(OR('Cost Margin'!$B$14="Y",'Cost Margin'!$J31=""),'Cost Margin'!$B$8,'Cost Margin'!$J31),C$5),MIN(IF(OR('Cost Margin'!$B$14="Y",'Cost Margin'!$K31=""),'Cost Margin'!$B$9,'Cost Margin'!$K31),C$6),INDEX(Settings!$A$35:$D$74,0,MATCH('Cost Margin'!$C31,Settings!$A$34:$D$34,0))),NETWORKDAYS(MAX(IF(OR('Cost Margin'!$B$14="Y",'Cost Margin'!$J31=""),'Cost Margin'!$B$8,'Cost Margin'!$J31),C$5),MIN(IF(OR('Cost Margin'!$B$14="Y",'Cost Margin'!$K31=""),'Cost Margin'!$B$9,'Cost Margin'!$K31),C$6)))))</f>
        <v>0</v>
      </c>
      <c r="D23" s="35" t="n">
        <f aca="false">IF(OR(D$5="",'Cost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Margin'!$K31),D$6)&lt;MAX(IF(OR('Cost Margin'!$B$14="Y",'Cost Margin'!$J31=""),'Cost Margin'!$B$8,'Cost Margin'!$J31),D$5),0,IFERROR(NETWORKDAYS(MAX(IF(OR('Cost Margin'!$B$14="Y",'Cost Margin'!$J31=""),'Cost Margin'!$B$8,'Cost Margin'!$J31),D$5),MIN(IF(OR('Cost Margin'!$B$14="Y",'Cost Margin'!$K31=""),'Cost Margin'!$B$9,'Cost Margin'!$K31),D$6),INDEX(Settings!$A$35:$D$74,0,MATCH('Cost Margin'!$C31,Settings!$A$34:$D$34,0))),NETWORKDAYS(MAX(IF(OR('Cost Margin'!$B$14="Y",'Cost Margin'!$J31=""),'Cost Margin'!$B$8,'Cost Margin'!$J31),D$5),MIN(IF(OR('Cost Margin'!$B$14="Y",'Cost Margin'!$K31=""),'Cost Margin'!$B$9,'Cost Margin'!$K31),D$6)))))</f>
        <v>0</v>
      </c>
      <c r="E23" s="35" t="n">
        <f aca="false">IF(OR(E$5="",'Cost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Margin'!$K31),E$6)&lt;MAX(IF(OR('Cost Margin'!$B$14="Y",'Cost Margin'!$J31=""),'Cost Margin'!$B$8,'Cost Margin'!$J31),E$5),0,IFERROR(NETWORKDAYS(MAX(IF(OR('Cost Margin'!$B$14="Y",'Cost Margin'!$J31=""),'Cost Margin'!$B$8,'Cost Margin'!$J31),E$5),MIN(IF(OR('Cost Margin'!$B$14="Y",'Cost Margin'!$K31=""),'Cost Margin'!$B$9,'Cost Margin'!$K31),E$6),INDEX(Settings!$A$35:$D$74,0,MATCH('Cost Margin'!$C31,Settings!$A$34:$D$34,0))),NETWORKDAYS(MAX(IF(OR('Cost Margin'!$B$14="Y",'Cost Margin'!$J31=""),'Cost Margin'!$B$8,'Cost Margin'!$J31),E$5),MIN(IF(OR('Cost Margin'!$B$14="Y",'Cost Margin'!$K31=""),'Cost Margin'!$B$9,'Cost Margin'!$K31),E$6)))))</f>
        <v>0</v>
      </c>
      <c r="F23" s="35" t="n">
        <f aca="false">IF(OR(F$5="",'Cost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Margin'!$K31),F$6)&lt;MAX(IF(OR('Cost Margin'!$B$14="Y",'Cost Margin'!$J31=""),'Cost Margin'!$B$8,'Cost Margin'!$J31),F$5),0,IFERROR(NETWORKDAYS(MAX(IF(OR('Cost Margin'!$B$14="Y",'Cost Margin'!$J31=""),'Cost Margin'!$B$8,'Cost Margin'!$J31),F$5),MIN(IF(OR('Cost Margin'!$B$14="Y",'Cost Margin'!$K31=""),'Cost Margin'!$B$9,'Cost Margin'!$K31),F$6),INDEX(Settings!$A$35:$D$74,0,MATCH('Cost Margin'!$C31,Settings!$A$34:$D$34,0))),NETWORKDAYS(MAX(IF(OR('Cost Margin'!$B$14="Y",'Cost Margin'!$J31=""),'Cost Margin'!$B$8,'Cost Margin'!$J31),F$5),MIN(IF(OR('Cost Margin'!$B$14="Y",'Cost Margin'!$K31=""),'Cost Margin'!$B$9,'Cost Margin'!$K31),F$6)))))</f>
        <v>0</v>
      </c>
      <c r="G23" s="35" t="n">
        <f aca="false">IF(OR(G$5="",'Cost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Margin'!$K31),G$6)&lt;MAX(IF(OR('Cost Margin'!$B$14="Y",'Cost Margin'!$J31=""),'Cost Margin'!$B$8,'Cost Margin'!$J31),G$5),0,IFERROR(NETWORKDAYS(MAX(IF(OR('Cost Margin'!$B$14="Y",'Cost Margin'!$J31=""),'Cost Margin'!$B$8,'Cost Margin'!$J31),G$5),MIN(IF(OR('Cost Margin'!$B$14="Y",'Cost Margin'!$K31=""),'Cost Margin'!$B$9,'Cost Margin'!$K31),G$6),INDEX(Settings!$A$35:$D$74,0,MATCH('Cost Margin'!$C31,Settings!$A$34:$D$34,0))),NETWORKDAYS(MAX(IF(OR('Cost Margin'!$B$14="Y",'Cost Margin'!$J31=""),'Cost Margin'!$B$8,'Cost Margin'!$J31),G$5),MIN(IF(OR('Cost Margin'!$B$14="Y",'Cost Margin'!$K31=""),'Cost Margin'!$B$9,'Cost Margin'!$K31),G$6)))))</f>
        <v>0</v>
      </c>
      <c r="H23" s="35" t="n">
        <f aca="false">IF(OR(H$5="",'Cost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Margin'!$K31),H$6)&lt;MAX(IF(OR('Cost Margin'!$B$14="Y",'Cost Margin'!$J31=""),'Cost Margin'!$B$8,'Cost Margin'!$J31),H$5),0,IFERROR(NETWORKDAYS(MAX(IF(OR('Cost Margin'!$B$14="Y",'Cost Margin'!$J31=""),'Cost Margin'!$B$8,'Cost Margin'!$J31),H$5),MIN(IF(OR('Cost Margin'!$B$14="Y",'Cost Margin'!$K31=""),'Cost Margin'!$B$9,'Cost Margin'!$K31),H$6),INDEX(Settings!$A$35:$D$74,0,MATCH('Cost Margin'!$C31,Settings!$A$34:$D$34,0))),NETWORKDAYS(MAX(IF(OR('Cost Margin'!$B$14="Y",'Cost Margin'!$J31=""),'Cost Margin'!$B$8,'Cost Margin'!$J31),H$5),MIN(IF(OR('Cost Margin'!$B$14="Y",'Cost Margin'!$K31=""),'Cost Margin'!$B$9,'Cost Margin'!$K31),H$6)))))</f>
        <v>0</v>
      </c>
      <c r="I23" s="35" t="n">
        <f aca="false">IF(OR(I$5="",'Cost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Margin'!$K31),I$6)&lt;MAX(IF(OR('Cost Margin'!$B$14="Y",'Cost Margin'!$J31=""),'Cost Margin'!$B$8,'Cost Margin'!$J31),I$5),0,IFERROR(NETWORKDAYS(MAX(IF(OR('Cost Margin'!$B$14="Y",'Cost Margin'!$J31=""),'Cost Margin'!$B$8,'Cost Margin'!$J31),I$5),MIN(IF(OR('Cost Margin'!$B$14="Y",'Cost Margin'!$K31=""),'Cost Margin'!$B$9,'Cost Margin'!$K31),I$6),INDEX(Settings!$A$35:$D$74,0,MATCH('Cost Margin'!$C31,Settings!$A$34:$D$34,0))),NETWORKDAYS(MAX(IF(OR('Cost Margin'!$B$14="Y",'Cost Margin'!$J31=""),'Cost Margin'!$B$8,'Cost Margin'!$J31),I$5),MIN(IF(OR('Cost Margin'!$B$14="Y",'Cost Margin'!$K31=""),'Cost Margin'!$B$9,'Cost Margin'!$K31),I$6)))))</f>
        <v>0</v>
      </c>
      <c r="J23" s="35" t="n">
        <f aca="false">IF(OR(J$5="",'Cost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Margin'!$K31),J$6)&lt;MAX(IF(OR('Cost Margin'!$B$14="Y",'Cost Margin'!$J31=""),'Cost Margin'!$B$8,'Cost Margin'!$J31),J$5),0,IFERROR(NETWORKDAYS(MAX(IF(OR('Cost Margin'!$B$14="Y",'Cost Margin'!$J31=""),'Cost Margin'!$B$8,'Cost Margin'!$J31),J$5),MIN(IF(OR('Cost Margin'!$B$14="Y",'Cost Margin'!$K31=""),'Cost Margin'!$B$9,'Cost Margin'!$K31),J$6),INDEX(Settings!$A$35:$D$74,0,MATCH('Cost Margin'!$C31,Settings!$A$34:$D$34,0))),NETWORKDAYS(MAX(IF(OR('Cost Margin'!$B$14="Y",'Cost Margin'!$J31=""),'Cost Margin'!$B$8,'Cost Margin'!$J31),J$5),MIN(IF(OR('Cost Margin'!$B$14="Y",'Cost Margin'!$K31=""),'Cost Margin'!$B$9,'Cost Margin'!$K31),J$6)))))</f>
        <v>0</v>
      </c>
      <c r="K23" s="35" t="n">
        <f aca="false">IF(OR(K$5="",'Cost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Margin'!$K31),K$6)&lt;MAX(IF(OR('Cost Margin'!$B$14="Y",'Cost Margin'!$J31=""),'Cost Margin'!$B$8,'Cost Margin'!$J31),K$5),0,IFERROR(NETWORKDAYS(MAX(IF(OR('Cost Margin'!$B$14="Y",'Cost Margin'!$J31=""),'Cost Margin'!$B$8,'Cost Margin'!$J31),K$5),MIN(IF(OR('Cost Margin'!$B$14="Y",'Cost Margin'!$K31=""),'Cost Margin'!$B$9,'Cost Margin'!$K31),K$6),INDEX(Settings!$A$35:$D$74,0,MATCH('Cost Margin'!$C31,Settings!$A$34:$D$34,0))),NETWORKDAYS(MAX(IF(OR('Cost Margin'!$B$14="Y",'Cost Margin'!$J31=""),'Cost Margin'!$B$8,'Cost Margin'!$J31),K$5),MIN(IF(OR('Cost Margin'!$B$14="Y",'Cost Margin'!$K31=""),'Cost Margin'!$B$9,'Cost Margin'!$K31),K$6)))))</f>
        <v>0</v>
      </c>
      <c r="L23" s="35" t="n">
        <f aca="false">IF(OR(L$5="",'Cost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Margin'!$K31),L$6)&lt;MAX(IF(OR('Cost Margin'!$B$14="Y",'Cost Margin'!$J31=""),'Cost Margin'!$B$8,'Cost Margin'!$J31),L$5),0,IFERROR(NETWORKDAYS(MAX(IF(OR('Cost Margin'!$B$14="Y",'Cost Margin'!$J31=""),'Cost Margin'!$B$8,'Cost Margin'!$J31),L$5),MIN(IF(OR('Cost Margin'!$B$14="Y",'Cost Margin'!$K31=""),'Cost Margin'!$B$9,'Cost Margin'!$K31),L$6),INDEX(Settings!$A$35:$D$74,0,MATCH('Cost Margin'!$C31,Settings!$A$34:$D$34,0))),NETWORKDAYS(MAX(IF(OR('Cost Margin'!$B$14="Y",'Cost Margin'!$J31=""),'Cost Margin'!$B$8,'Cost Margin'!$J31),L$5),MIN(IF(OR('Cost Margin'!$B$14="Y",'Cost Margin'!$K31=""),'Cost Margin'!$B$9,'Cost Margin'!$K31),L$6)))))</f>
        <v>0</v>
      </c>
      <c r="M23" s="35" t="n">
        <f aca="false">IF(OR(M$5="",'Cost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Margin'!$K31),M$6)&lt;MAX(IF(OR('Cost Margin'!$B$14="Y",'Cost Margin'!$J31=""),'Cost Margin'!$B$8,'Cost Margin'!$J31),M$5),0,IFERROR(NETWORKDAYS(MAX(IF(OR('Cost Margin'!$B$14="Y",'Cost Margin'!$J31=""),'Cost Margin'!$B$8,'Cost Margin'!$J31),M$5),MIN(IF(OR('Cost Margin'!$B$14="Y",'Cost Margin'!$K31=""),'Cost Margin'!$B$9,'Cost Margin'!$K31),M$6),INDEX(Settings!$A$35:$D$74,0,MATCH('Cost Margin'!$C31,Settings!$A$34:$D$34,0))),NETWORKDAYS(MAX(IF(OR('Cost Margin'!$B$14="Y",'Cost Margin'!$J31=""),'Cost Margin'!$B$8,'Cost Margin'!$J31),M$5),MIN(IF(OR('Cost Margin'!$B$14="Y",'Cost Margin'!$K31=""),'Cost Margin'!$B$9,'Cost Margin'!$K31),M$6)))))</f>
        <v>0</v>
      </c>
      <c r="N23" s="35" t="n">
        <f aca="false">IF(OR(N$5="",'Cost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Margin'!$K31),N$6)&lt;MAX(IF(OR('Cost Margin'!$B$14="Y",'Cost Margin'!$J31=""),'Cost Margin'!$B$8,'Cost Margin'!$J31),N$5),0,IFERROR(NETWORKDAYS(MAX(IF(OR('Cost Margin'!$B$14="Y",'Cost Margin'!$J31=""),'Cost Margin'!$B$8,'Cost Margin'!$J31),N$5),MIN(IF(OR('Cost Margin'!$B$14="Y",'Cost Margin'!$K31=""),'Cost Margin'!$B$9,'Cost Margin'!$K31),N$6),INDEX(Settings!$A$35:$D$74,0,MATCH('Cost Margin'!$C31,Settings!$A$34:$D$34,0))),NETWORKDAYS(MAX(IF(OR('Cost Margin'!$B$14="Y",'Cost Margin'!$J31=""),'Cost Margin'!$B$8,'Cost Margin'!$J31),N$5),MIN(IF(OR('Cost Margin'!$B$14="Y",'Cost Margin'!$K31=""),'Cost Margin'!$B$9,'Cost Margin'!$K31),N$6)))))</f>
        <v>0</v>
      </c>
      <c r="O23" s="35" t="n">
        <f aca="false">IF(OR(O$5="",'Cost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Margin'!$K31),O$6)&lt;MAX(IF(OR('Cost Margin'!$B$14="Y",'Cost Margin'!$J31=""),'Cost Margin'!$B$8,'Cost Margin'!$J31),O$5),0,IFERROR(NETWORKDAYS(MAX(IF(OR('Cost Margin'!$B$14="Y",'Cost Margin'!$J31=""),'Cost Margin'!$B$8,'Cost Margin'!$J31),O$5),MIN(IF(OR('Cost Margin'!$B$14="Y",'Cost Margin'!$K31=""),'Cost Margin'!$B$9,'Cost Margin'!$K31),O$6),INDEX(Settings!$A$35:$D$74,0,MATCH('Cost Margin'!$C31,Settings!$A$34:$D$34,0))),NETWORKDAYS(MAX(IF(OR('Cost Margin'!$B$14="Y",'Cost Margin'!$J31=""),'Cost Margin'!$B$8,'Cost Margin'!$J31),O$5),MIN(IF(OR('Cost Margin'!$B$14="Y",'Cost Margin'!$K31=""),'Cost Margin'!$B$9,'Cost Margin'!$K31),O$6)))))</f>
        <v>0</v>
      </c>
      <c r="P23" s="35" t="n">
        <f aca="false">IF(OR(P$5="",'Cost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Margin'!$K31),P$6)&lt;MAX(IF(OR('Cost Margin'!$B$14="Y",'Cost Margin'!$J31=""),'Cost Margin'!$B$8,'Cost Margin'!$J31),P$5),0,IFERROR(NETWORKDAYS(MAX(IF(OR('Cost Margin'!$B$14="Y",'Cost Margin'!$J31=""),'Cost Margin'!$B$8,'Cost Margin'!$J31),P$5),MIN(IF(OR('Cost Margin'!$B$14="Y",'Cost Margin'!$K31=""),'Cost Margin'!$B$9,'Cost Margin'!$K31),P$6),INDEX(Settings!$A$35:$D$74,0,MATCH('Cost Margin'!$C31,Settings!$A$34:$D$34,0))),NETWORKDAYS(MAX(IF(OR('Cost Margin'!$B$14="Y",'Cost Margin'!$J31=""),'Cost Margin'!$B$8,'Cost Margin'!$J31),P$5),MIN(IF(OR('Cost Margin'!$B$14="Y",'Cost Margin'!$K31=""),'Cost Margin'!$B$9,'Cost Margin'!$K31),P$6)))))</f>
        <v>0</v>
      </c>
      <c r="Q23" s="35" t="n">
        <f aca="false">IF(OR(Q$5="",'Cost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Margin'!$K31),Q$6)&lt;MAX(IF(OR('Cost Margin'!$B$14="Y",'Cost Margin'!$J31=""),'Cost Margin'!$B$8,'Cost Margin'!$J31),Q$5),0,IFERROR(NETWORKDAYS(MAX(IF(OR('Cost Margin'!$B$14="Y",'Cost Margin'!$J31=""),'Cost Margin'!$B$8,'Cost Margin'!$J31),Q$5),MIN(IF(OR('Cost Margin'!$B$14="Y",'Cost Margin'!$K31=""),'Cost Margin'!$B$9,'Cost Margin'!$K31),Q$6),INDEX(Settings!$A$35:$D$74,0,MATCH('Cost Margin'!$C31,Settings!$A$34:$D$34,0))),NETWORKDAYS(MAX(IF(OR('Cost Margin'!$B$14="Y",'Cost Margin'!$J31=""),'Cost Margin'!$B$8,'Cost Margin'!$J31),Q$5),MIN(IF(OR('Cost Margin'!$B$14="Y",'Cost Margin'!$K31=""),'Cost Margin'!$B$9,'Cost Margin'!$K31),Q$6)))))</f>
        <v>0</v>
      </c>
      <c r="R23" s="35" t="n">
        <f aca="false">IF(OR(R$5="",'Cost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Margin'!$K31),R$6)&lt;MAX(IF(OR('Cost Margin'!$B$14="Y",'Cost Margin'!$J31=""),'Cost Margin'!$B$8,'Cost Margin'!$J31),R$5),0,IFERROR(NETWORKDAYS(MAX(IF(OR('Cost Margin'!$B$14="Y",'Cost Margin'!$J31=""),'Cost Margin'!$B$8,'Cost Margin'!$J31),R$5),MIN(IF(OR('Cost Margin'!$B$14="Y",'Cost Margin'!$K31=""),'Cost Margin'!$B$9,'Cost Margin'!$K31),R$6),INDEX(Settings!$A$35:$D$74,0,MATCH('Cost Margin'!$C31,Settings!$A$34:$D$34,0))),NETWORKDAYS(MAX(IF(OR('Cost Margin'!$B$14="Y",'Cost Margin'!$J31=""),'Cost Margin'!$B$8,'Cost Margin'!$J31),R$5),MIN(IF(OR('Cost Margin'!$B$14="Y",'Cost Margin'!$K31=""),'Cost Margin'!$B$9,'Cost Margin'!$K31),R$6)))))</f>
        <v>0</v>
      </c>
      <c r="S23" s="35" t="n">
        <f aca="false">IF(OR(S$5="",'Cost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Margin'!$K31),S$6)&lt;MAX(IF(OR('Cost Margin'!$B$14="Y",'Cost Margin'!$J31=""),'Cost Margin'!$B$8,'Cost Margin'!$J31),S$5),0,IFERROR(NETWORKDAYS(MAX(IF(OR('Cost Margin'!$B$14="Y",'Cost Margin'!$J31=""),'Cost Margin'!$B$8,'Cost Margin'!$J31),S$5),MIN(IF(OR('Cost Margin'!$B$14="Y",'Cost Margin'!$K31=""),'Cost Margin'!$B$9,'Cost Margin'!$K31),S$6),INDEX(Settings!$A$35:$D$74,0,MATCH('Cost Margin'!$C31,Settings!$A$34:$D$34,0))),NETWORKDAYS(MAX(IF(OR('Cost Margin'!$B$14="Y",'Cost Margin'!$J31=""),'Cost Margin'!$B$8,'Cost Margin'!$J31),S$5),MIN(IF(OR('Cost Margin'!$B$14="Y",'Cost Margin'!$K31=""),'Cost Margin'!$B$9,'Cost Margin'!$K31),S$6)))))</f>
        <v>0</v>
      </c>
      <c r="T23" s="35" t="n">
        <f aca="false">IF(OR(T$5="",'Cost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Margin'!$K31),T$6)&lt;MAX(IF(OR('Cost Margin'!$B$14="Y",'Cost Margin'!$J31=""),'Cost Margin'!$B$8,'Cost Margin'!$J31),T$5),0,IFERROR(NETWORKDAYS(MAX(IF(OR('Cost Margin'!$B$14="Y",'Cost Margin'!$J31=""),'Cost Margin'!$B$8,'Cost Margin'!$J31),T$5),MIN(IF(OR('Cost Margin'!$B$14="Y",'Cost Margin'!$K31=""),'Cost Margin'!$B$9,'Cost Margin'!$K31),T$6),INDEX(Settings!$A$35:$D$74,0,MATCH('Cost Margin'!$C31,Settings!$A$34:$D$34,0))),NETWORKDAYS(MAX(IF(OR('Cost Margin'!$B$14="Y",'Cost Margin'!$J31=""),'Cost Margin'!$B$8,'Cost Margin'!$J31),T$5),MIN(IF(OR('Cost Margin'!$B$14="Y",'Cost Margin'!$K31=""),'Cost Margin'!$B$9,'Cost Margin'!$K31),T$6)))))</f>
        <v>0</v>
      </c>
      <c r="U23" s="35" t="n">
        <f aca="false">IF(OR(U$5="",'Cost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Margin'!$K31),U$6)&lt;MAX(IF(OR('Cost Margin'!$B$14="Y",'Cost Margin'!$J31=""),'Cost Margin'!$B$8,'Cost Margin'!$J31),U$5),0,IFERROR(NETWORKDAYS(MAX(IF(OR('Cost Margin'!$B$14="Y",'Cost Margin'!$J31=""),'Cost Margin'!$B$8,'Cost Margin'!$J31),U$5),MIN(IF(OR('Cost Margin'!$B$14="Y",'Cost Margin'!$K31=""),'Cost Margin'!$B$9,'Cost Margin'!$K31),U$6),INDEX(Settings!$A$35:$D$74,0,MATCH('Cost Margin'!$C31,Settings!$A$34:$D$34,0))),NETWORKDAYS(MAX(IF(OR('Cost Margin'!$B$14="Y",'Cost Margin'!$J31=""),'Cost Margin'!$B$8,'Cost Margin'!$J31),U$5),MIN(IF(OR('Cost Margin'!$B$14="Y",'Cost Margin'!$K31=""),'Cost Margin'!$B$9,'Cost Margin'!$K31),U$6)))))</f>
        <v>0</v>
      </c>
      <c r="V23" s="35" t="n">
        <f aca="false">IF(OR(V$5="",'Cost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Margin'!$K31),V$6)&lt;MAX(IF(OR('Cost Margin'!$B$14="Y",'Cost Margin'!$J31=""),'Cost Margin'!$B$8,'Cost Margin'!$J31),V$5),0,IFERROR(NETWORKDAYS(MAX(IF(OR('Cost Margin'!$B$14="Y",'Cost Margin'!$J31=""),'Cost Margin'!$B$8,'Cost Margin'!$J31),V$5),MIN(IF(OR('Cost Margin'!$B$14="Y",'Cost Margin'!$K31=""),'Cost Margin'!$B$9,'Cost Margin'!$K31),V$6),INDEX(Settings!$A$35:$D$74,0,MATCH('Cost Margin'!$C31,Settings!$A$34:$D$34,0))),NETWORKDAYS(MAX(IF(OR('Cost Margin'!$B$14="Y",'Cost Margin'!$J31=""),'Cost Margin'!$B$8,'Cost Margin'!$J31),V$5),MIN(IF(OR('Cost Margin'!$B$14="Y",'Cost Margin'!$K31=""),'Cost Margin'!$B$9,'Cost Margin'!$K31),V$6)))))</f>
        <v>0</v>
      </c>
      <c r="W23" s="35" t="n">
        <f aca="false">IF(OR(W$5="",'Cost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Margin'!$K31),W$6)&lt;MAX(IF(OR('Cost Margin'!$B$14="Y",'Cost Margin'!$J31=""),'Cost Margin'!$B$8,'Cost Margin'!$J31),W$5),0,IFERROR(NETWORKDAYS(MAX(IF(OR('Cost Margin'!$B$14="Y",'Cost Margin'!$J31=""),'Cost Margin'!$B$8,'Cost Margin'!$J31),W$5),MIN(IF(OR('Cost Margin'!$B$14="Y",'Cost Margin'!$K31=""),'Cost Margin'!$B$9,'Cost Margin'!$K31),W$6),INDEX(Settings!$A$35:$D$74,0,MATCH('Cost Margin'!$C31,Settings!$A$34:$D$34,0))),NETWORKDAYS(MAX(IF(OR('Cost Margin'!$B$14="Y",'Cost Margin'!$J31=""),'Cost Margin'!$B$8,'Cost Margin'!$J31),W$5),MIN(IF(OR('Cost Margin'!$B$14="Y",'Cost Margin'!$K31=""),'Cost Margin'!$B$9,'Cost Margin'!$K31),W$6)))))</f>
        <v>0</v>
      </c>
      <c r="X23" s="35" t="n">
        <f aca="false">IF(OR(X$5="",'Cost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Margin'!$K31),X$6)&lt;MAX(IF(OR('Cost Margin'!$B$14="Y",'Cost Margin'!$J31=""),'Cost Margin'!$B$8,'Cost Margin'!$J31),X$5),0,IFERROR(NETWORKDAYS(MAX(IF(OR('Cost Margin'!$B$14="Y",'Cost Margin'!$J31=""),'Cost Margin'!$B$8,'Cost Margin'!$J31),X$5),MIN(IF(OR('Cost Margin'!$B$14="Y",'Cost Margin'!$K31=""),'Cost Margin'!$B$9,'Cost Margin'!$K31),X$6),INDEX(Settings!$A$35:$D$74,0,MATCH('Cost Margin'!$C31,Settings!$A$34:$D$34,0))),NETWORKDAYS(MAX(IF(OR('Cost Margin'!$B$14="Y",'Cost Margin'!$J31=""),'Cost Margin'!$B$8,'Cost Margin'!$J31),X$5),MIN(IF(OR('Cost Margin'!$B$14="Y",'Cost Margin'!$K31=""),'Cost Margin'!$B$9,'Cost Margin'!$K31),X$6)))))</f>
        <v>0</v>
      </c>
      <c r="Y23" s="35" t="n">
        <f aca="false">IF(OR(Y$5="",'Cost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Margin'!$K31),Y$6)&lt;MAX(IF(OR('Cost Margin'!$B$14="Y",'Cost Margin'!$J31=""),'Cost Margin'!$B$8,'Cost Margin'!$J31),Y$5),0,IFERROR(NETWORKDAYS(MAX(IF(OR('Cost Margin'!$B$14="Y",'Cost Margin'!$J31=""),'Cost Margin'!$B$8,'Cost Margin'!$J31),Y$5),MIN(IF(OR('Cost Margin'!$B$14="Y",'Cost Margin'!$K31=""),'Cost Margin'!$B$9,'Cost Margin'!$K31),Y$6),INDEX(Settings!$A$35:$D$74,0,MATCH('Cost Margin'!$C31,Settings!$A$34:$D$34,0))),NETWORKDAYS(MAX(IF(OR('Cost Margin'!$B$14="Y",'Cost Margin'!$J31=""),'Cost Margin'!$B$8,'Cost Margin'!$J31),Y$5),MIN(IF(OR('Cost Margin'!$B$14="Y",'Cost Margin'!$K31=""),'Cost Margin'!$B$9,'Cost Margin'!$K31),Y$6)))))</f>
        <v>0</v>
      </c>
      <c r="Z23" s="35" t="n">
        <f aca="false">IF(OR(Z$5="",'Cost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Margin'!$K31),Z$6)&lt;MAX(IF(OR('Cost Margin'!$B$14="Y",'Cost Margin'!$J31=""),'Cost Margin'!$B$8,'Cost Margin'!$J31),Z$5),0,IFERROR(NETWORKDAYS(MAX(IF(OR('Cost Margin'!$B$14="Y",'Cost Margin'!$J31=""),'Cost Margin'!$B$8,'Cost Margin'!$J31),Z$5),MIN(IF(OR('Cost Margin'!$B$14="Y",'Cost Margin'!$K31=""),'Cost Margin'!$B$9,'Cost Margin'!$K31),Z$6),INDEX(Settings!$A$35:$D$74,0,MATCH('Cost Margin'!$C31,Settings!$A$34:$D$34,0))),NETWORKDAYS(MAX(IF(OR('Cost Margin'!$B$14="Y",'Cost Margin'!$J31=""),'Cost Margin'!$B$8,'Cost Margin'!$J31),Z$5),MIN(IF(OR('Cost Margin'!$B$14="Y",'Cost Margin'!$K31=""),'Cost Margin'!$B$9,'Cost Margin'!$K31),Z$6)))))</f>
        <v>0</v>
      </c>
      <c r="AB23" s="34" t="str">
        <f aca="false">IF('Cost Margin'!A31="","",IF('Cost Margin'!E31="","(unassigned)",'Cost Margin'!E31))</f>
        <v/>
      </c>
    </row>
    <row r="24" customFormat="false" ht="15" hidden="false" customHeight="false" outlineLevel="0" collapsed="false">
      <c r="A24" s="0" t="n">
        <v>16</v>
      </c>
      <c r="B24" s="34" t="str">
        <f aca="false">IF('Cost Margin'!A32="","",'Cost Margin'!A32&amp;IF('Cost Margin'!E32="",""," · "&amp;'Cost Margin'!E32))</f>
        <v/>
      </c>
      <c r="C24" s="35" t="n">
        <f aca="false">IF(OR(C$5="",'Cost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Margin'!$K32),C$6)&lt;MAX(IF(OR('Cost Margin'!$B$14="Y",'Cost Margin'!$J32=""),'Cost Margin'!$B$8,'Cost Margin'!$J32),C$5),0,IFERROR(NETWORKDAYS(MAX(IF(OR('Cost Margin'!$B$14="Y",'Cost Margin'!$J32=""),'Cost Margin'!$B$8,'Cost Margin'!$J32),C$5),MIN(IF(OR('Cost Margin'!$B$14="Y",'Cost Margin'!$K32=""),'Cost Margin'!$B$9,'Cost Margin'!$K32),C$6),INDEX(Settings!$A$35:$D$74,0,MATCH('Cost Margin'!$C32,Settings!$A$34:$D$34,0))),NETWORKDAYS(MAX(IF(OR('Cost Margin'!$B$14="Y",'Cost Margin'!$J32=""),'Cost Margin'!$B$8,'Cost Margin'!$J32),C$5),MIN(IF(OR('Cost Margin'!$B$14="Y",'Cost Margin'!$K32=""),'Cost Margin'!$B$9,'Cost Margin'!$K32),C$6)))))</f>
        <v>0</v>
      </c>
      <c r="D24" s="35" t="n">
        <f aca="false">IF(OR(D$5="",'Cost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Margin'!$K32),D$6)&lt;MAX(IF(OR('Cost Margin'!$B$14="Y",'Cost Margin'!$J32=""),'Cost Margin'!$B$8,'Cost Margin'!$J32),D$5),0,IFERROR(NETWORKDAYS(MAX(IF(OR('Cost Margin'!$B$14="Y",'Cost Margin'!$J32=""),'Cost Margin'!$B$8,'Cost Margin'!$J32),D$5),MIN(IF(OR('Cost Margin'!$B$14="Y",'Cost Margin'!$K32=""),'Cost Margin'!$B$9,'Cost Margin'!$K32),D$6),INDEX(Settings!$A$35:$D$74,0,MATCH('Cost Margin'!$C32,Settings!$A$34:$D$34,0))),NETWORKDAYS(MAX(IF(OR('Cost Margin'!$B$14="Y",'Cost Margin'!$J32=""),'Cost Margin'!$B$8,'Cost Margin'!$J32),D$5),MIN(IF(OR('Cost Margin'!$B$14="Y",'Cost Margin'!$K32=""),'Cost Margin'!$B$9,'Cost Margin'!$K32),D$6)))))</f>
        <v>0</v>
      </c>
      <c r="E24" s="35" t="n">
        <f aca="false">IF(OR(E$5="",'Cost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Margin'!$K32),E$6)&lt;MAX(IF(OR('Cost Margin'!$B$14="Y",'Cost Margin'!$J32=""),'Cost Margin'!$B$8,'Cost Margin'!$J32),E$5),0,IFERROR(NETWORKDAYS(MAX(IF(OR('Cost Margin'!$B$14="Y",'Cost Margin'!$J32=""),'Cost Margin'!$B$8,'Cost Margin'!$J32),E$5),MIN(IF(OR('Cost Margin'!$B$14="Y",'Cost Margin'!$K32=""),'Cost Margin'!$B$9,'Cost Margin'!$K32),E$6),INDEX(Settings!$A$35:$D$74,0,MATCH('Cost Margin'!$C32,Settings!$A$34:$D$34,0))),NETWORKDAYS(MAX(IF(OR('Cost Margin'!$B$14="Y",'Cost Margin'!$J32=""),'Cost Margin'!$B$8,'Cost Margin'!$J32),E$5),MIN(IF(OR('Cost Margin'!$B$14="Y",'Cost Margin'!$K32=""),'Cost Margin'!$B$9,'Cost Margin'!$K32),E$6)))))</f>
        <v>0</v>
      </c>
      <c r="F24" s="35" t="n">
        <f aca="false">IF(OR(F$5="",'Cost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Margin'!$K32),F$6)&lt;MAX(IF(OR('Cost Margin'!$B$14="Y",'Cost Margin'!$J32=""),'Cost Margin'!$B$8,'Cost Margin'!$J32),F$5),0,IFERROR(NETWORKDAYS(MAX(IF(OR('Cost Margin'!$B$14="Y",'Cost Margin'!$J32=""),'Cost Margin'!$B$8,'Cost Margin'!$J32),F$5),MIN(IF(OR('Cost Margin'!$B$14="Y",'Cost Margin'!$K32=""),'Cost Margin'!$B$9,'Cost Margin'!$K32),F$6),INDEX(Settings!$A$35:$D$74,0,MATCH('Cost Margin'!$C32,Settings!$A$34:$D$34,0))),NETWORKDAYS(MAX(IF(OR('Cost Margin'!$B$14="Y",'Cost Margin'!$J32=""),'Cost Margin'!$B$8,'Cost Margin'!$J32),F$5),MIN(IF(OR('Cost Margin'!$B$14="Y",'Cost Margin'!$K32=""),'Cost Margin'!$B$9,'Cost Margin'!$K32),F$6)))))</f>
        <v>0</v>
      </c>
      <c r="G24" s="35" t="n">
        <f aca="false">IF(OR(G$5="",'Cost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Margin'!$K32),G$6)&lt;MAX(IF(OR('Cost Margin'!$B$14="Y",'Cost Margin'!$J32=""),'Cost Margin'!$B$8,'Cost Margin'!$J32),G$5),0,IFERROR(NETWORKDAYS(MAX(IF(OR('Cost Margin'!$B$14="Y",'Cost Margin'!$J32=""),'Cost Margin'!$B$8,'Cost Margin'!$J32),G$5),MIN(IF(OR('Cost Margin'!$B$14="Y",'Cost Margin'!$K32=""),'Cost Margin'!$B$9,'Cost Margin'!$K32),G$6),INDEX(Settings!$A$35:$D$74,0,MATCH('Cost Margin'!$C32,Settings!$A$34:$D$34,0))),NETWORKDAYS(MAX(IF(OR('Cost Margin'!$B$14="Y",'Cost Margin'!$J32=""),'Cost Margin'!$B$8,'Cost Margin'!$J32),G$5),MIN(IF(OR('Cost Margin'!$B$14="Y",'Cost Margin'!$K32=""),'Cost Margin'!$B$9,'Cost Margin'!$K32),G$6)))))</f>
        <v>0</v>
      </c>
      <c r="H24" s="35" t="n">
        <f aca="false">IF(OR(H$5="",'Cost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Margin'!$K32),H$6)&lt;MAX(IF(OR('Cost Margin'!$B$14="Y",'Cost Margin'!$J32=""),'Cost Margin'!$B$8,'Cost Margin'!$J32),H$5),0,IFERROR(NETWORKDAYS(MAX(IF(OR('Cost Margin'!$B$14="Y",'Cost Margin'!$J32=""),'Cost Margin'!$B$8,'Cost Margin'!$J32),H$5),MIN(IF(OR('Cost Margin'!$B$14="Y",'Cost Margin'!$K32=""),'Cost Margin'!$B$9,'Cost Margin'!$K32),H$6),INDEX(Settings!$A$35:$D$74,0,MATCH('Cost Margin'!$C32,Settings!$A$34:$D$34,0))),NETWORKDAYS(MAX(IF(OR('Cost Margin'!$B$14="Y",'Cost Margin'!$J32=""),'Cost Margin'!$B$8,'Cost Margin'!$J32),H$5),MIN(IF(OR('Cost Margin'!$B$14="Y",'Cost Margin'!$K32=""),'Cost Margin'!$B$9,'Cost Margin'!$K32),H$6)))))</f>
        <v>0</v>
      </c>
      <c r="I24" s="35" t="n">
        <f aca="false">IF(OR(I$5="",'Cost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Margin'!$K32),I$6)&lt;MAX(IF(OR('Cost Margin'!$B$14="Y",'Cost Margin'!$J32=""),'Cost Margin'!$B$8,'Cost Margin'!$J32),I$5),0,IFERROR(NETWORKDAYS(MAX(IF(OR('Cost Margin'!$B$14="Y",'Cost Margin'!$J32=""),'Cost Margin'!$B$8,'Cost Margin'!$J32),I$5),MIN(IF(OR('Cost Margin'!$B$14="Y",'Cost Margin'!$K32=""),'Cost Margin'!$B$9,'Cost Margin'!$K32),I$6),INDEX(Settings!$A$35:$D$74,0,MATCH('Cost Margin'!$C32,Settings!$A$34:$D$34,0))),NETWORKDAYS(MAX(IF(OR('Cost Margin'!$B$14="Y",'Cost Margin'!$J32=""),'Cost Margin'!$B$8,'Cost Margin'!$J32),I$5),MIN(IF(OR('Cost Margin'!$B$14="Y",'Cost Margin'!$K32=""),'Cost Margin'!$B$9,'Cost Margin'!$K32),I$6)))))</f>
        <v>0</v>
      </c>
      <c r="J24" s="35" t="n">
        <f aca="false">IF(OR(J$5="",'Cost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Margin'!$K32),J$6)&lt;MAX(IF(OR('Cost Margin'!$B$14="Y",'Cost Margin'!$J32=""),'Cost Margin'!$B$8,'Cost Margin'!$J32),J$5),0,IFERROR(NETWORKDAYS(MAX(IF(OR('Cost Margin'!$B$14="Y",'Cost Margin'!$J32=""),'Cost Margin'!$B$8,'Cost Margin'!$J32),J$5),MIN(IF(OR('Cost Margin'!$B$14="Y",'Cost Margin'!$K32=""),'Cost Margin'!$B$9,'Cost Margin'!$K32),J$6),INDEX(Settings!$A$35:$D$74,0,MATCH('Cost Margin'!$C32,Settings!$A$34:$D$34,0))),NETWORKDAYS(MAX(IF(OR('Cost Margin'!$B$14="Y",'Cost Margin'!$J32=""),'Cost Margin'!$B$8,'Cost Margin'!$J32),J$5),MIN(IF(OR('Cost Margin'!$B$14="Y",'Cost Margin'!$K32=""),'Cost Margin'!$B$9,'Cost Margin'!$K32),J$6)))))</f>
        <v>0</v>
      </c>
      <c r="K24" s="35" t="n">
        <f aca="false">IF(OR(K$5="",'Cost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Margin'!$K32),K$6)&lt;MAX(IF(OR('Cost Margin'!$B$14="Y",'Cost Margin'!$J32=""),'Cost Margin'!$B$8,'Cost Margin'!$J32),K$5),0,IFERROR(NETWORKDAYS(MAX(IF(OR('Cost Margin'!$B$14="Y",'Cost Margin'!$J32=""),'Cost Margin'!$B$8,'Cost Margin'!$J32),K$5),MIN(IF(OR('Cost Margin'!$B$14="Y",'Cost Margin'!$K32=""),'Cost Margin'!$B$9,'Cost Margin'!$K32),K$6),INDEX(Settings!$A$35:$D$74,0,MATCH('Cost Margin'!$C32,Settings!$A$34:$D$34,0))),NETWORKDAYS(MAX(IF(OR('Cost Margin'!$B$14="Y",'Cost Margin'!$J32=""),'Cost Margin'!$B$8,'Cost Margin'!$J32),K$5),MIN(IF(OR('Cost Margin'!$B$14="Y",'Cost Margin'!$K32=""),'Cost Margin'!$B$9,'Cost Margin'!$K32),K$6)))))</f>
        <v>0</v>
      </c>
      <c r="L24" s="35" t="n">
        <f aca="false">IF(OR(L$5="",'Cost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Margin'!$K32),L$6)&lt;MAX(IF(OR('Cost Margin'!$B$14="Y",'Cost Margin'!$J32=""),'Cost Margin'!$B$8,'Cost Margin'!$J32),L$5),0,IFERROR(NETWORKDAYS(MAX(IF(OR('Cost Margin'!$B$14="Y",'Cost Margin'!$J32=""),'Cost Margin'!$B$8,'Cost Margin'!$J32),L$5),MIN(IF(OR('Cost Margin'!$B$14="Y",'Cost Margin'!$K32=""),'Cost Margin'!$B$9,'Cost Margin'!$K32),L$6),INDEX(Settings!$A$35:$D$74,0,MATCH('Cost Margin'!$C32,Settings!$A$34:$D$34,0))),NETWORKDAYS(MAX(IF(OR('Cost Margin'!$B$14="Y",'Cost Margin'!$J32=""),'Cost Margin'!$B$8,'Cost Margin'!$J32),L$5),MIN(IF(OR('Cost Margin'!$B$14="Y",'Cost Margin'!$K32=""),'Cost Margin'!$B$9,'Cost Margin'!$K32),L$6)))))</f>
        <v>0</v>
      </c>
      <c r="M24" s="35" t="n">
        <f aca="false">IF(OR(M$5="",'Cost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Margin'!$K32),M$6)&lt;MAX(IF(OR('Cost Margin'!$B$14="Y",'Cost Margin'!$J32=""),'Cost Margin'!$B$8,'Cost Margin'!$J32),M$5),0,IFERROR(NETWORKDAYS(MAX(IF(OR('Cost Margin'!$B$14="Y",'Cost Margin'!$J32=""),'Cost Margin'!$B$8,'Cost Margin'!$J32),M$5),MIN(IF(OR('Cost Margin'!$B$14="Y",'Cost Margin'!$K32=""),'Cost Margin'!$B$9,'Cost Margin'!$K32),M$6),INDEX(Settings!$A$35:$D$74,0,MATCH('Cost Margin'!$C32,Settings!$A$34:$D$34,0))),NETWORKDAYS(MAX(IF(OR('Cost Margin'!$B$14="Y",'Cost Margin'!$J32=""),'Cost Margin'!$B$8,'Cost Margin'!$J32),M$5),MIN(IF(OR('Cost Margin'!$B$14="Y",'Cost Margin'!$K32=""),'Cost Margin'!$B$9,'Cost Margin'!$K32),M$6)))))</f>
        <v>0</v>
      </c>
      <c r="N24" s="35" t="n">
        <f aca="false">IF(OR(N$5="",'Cost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Margin'!$K32),N$6)&lt;MAX(IF(OR('Cost Margin'!$B$14="Y",'Cost Margin'!$J32=""),'Cost Margin'!$B$8,'Cost Margin'!$J32),N$5),0,IFERROR(NETWORKDAYS(MAX(IF(OR('Cost Margin'!$B$14="Y",'Cost Margin'!$J32=""),'Cost Margin'!$B$8,'Cost Margin'!$J32),N$5),MIN(IF(OR('Cost Margin'!$B$14="Y",'Cost Margin'!$K32=""),'Cost Margin'!$B$9,'Cost Margin'!$K32),N$6),INDEX(Settings!$A$35:$D$74,0,MATCH('Cost Margin'!$C32,Settings!$A$34:$D$34,0))),NETWORKDAYS(MAX(IF(OR('Cost Margin'!$B$14="Y",'Cost Margin'!$J32=""),'Cost Margin'!$B$8,'Cost Margin'!$J32),N$5),MIN(IF(OR('Cost Margin'!$B$14="Y",'Cost Margin'!$K32=""),'Cost Margin'!$B$9,'Cost Margin'!$K32),N$6)))))</f>
        <v>0</v>
      </c>
      <c r="O24" s="35" t="n">
        <f aca="false">IF(OR(O$5="",'Cost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Margin'!$K32),O$6)&lt;MAX(IF(OR('Cost Margin'!$B$14="Y",'Cost Margin'!$J32=""),'Cost Margin'!$B$8,'Cost Margin'!$J32),O$5),0,IFERROR(NETWORKDAYS(MAX(IF(OR('Cost Margin'!$B$14="Y",'Cost Margin'!$J32=""),'Cost Margin'!$B$8,'Cost Margin'!$J32),O$5),MIN(IF(OR('Cost Margin'!$B$14="Y",'Cost Margin'!$K32=""),'Cost Margin'!$B$9,'Cost Margin'!$K32),O$6),INDEX(Settings!$A$35:$D$74,0,MATCH('Cost Margin'!$C32,Settings!$A$34:$D$34,0))),NETWORKDAYS(MAX(IF(OR('Cost Margin'!$B$14="Y",'Cost Margin'!$J32=""),'Cost Margin'!$B$8,'Cost Margin'!$J32),O$5),MIN(IF(OR('Cost Margin'!$B$14="Y",'Cost Margin'!$K32=""),'Cost Margin'!$B$9,'Cost Margin'!$K32),O$6)))))</f>
        <v>0</v>
      </c>
      <c r="P24" s="35" t="n">
        <f aca="false">IF(OR(P$5="",'Cost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Margin'!$K32),P$6)&lt;MAX(IF(OR('Cost Margin'!$B$14="Y",'Cost Margin'!$J32=""),'Cost Margin'!$B$8,'Cost Margin'!$J32),P$5),0,IFERROR(NETWORKDAYS(MAX(IF(OR('Cost Margin'!$B$14="Y",'Cost Margin'!$J32=""),'Cost Margin'!$B$8,'Cost Margin'!$J32),P$5),MIN(IF(OR('Cost Margin'!$B$14="Y",'Cost Margin'!$K32=""),'Cost Margin'!$B$9,'Cost Margin'!$K32),P$6),INDEX(Settings!$A$35:$D$74,0,MATCH('Cost Margin'!$C32,Settings!$A$34:$D$34,0))),NETWORKDAYS(MAX(IF(OR('Cost Margin'!$B$14="Y",'Cost Margin'!$J32=""),'Cost Margin'!$B$8,'Cost Margin'!$J32),P$5),MIN(IF(OR('Cost Margin'!$B$14="Y",'Cost Margin'!$K32=""),'Cost Margin'!$B$9,'Cost Margin'!$K32),P$6)))))</f>
        <v>0</v>
      </c>
      <c r="Q24" s="35" t="n">
        <f aca="false">IF(OR(Q$5="",'Cost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Margin'!$K32),Q$6)&lt;MAX(IF(OR('Cost Margin'!$B$14="Y",'Cost Margin'!$J32=""),'Cost Margin'!$B$8,'Cost Margin'!$J32),Q$5),0,IFERROR(NETWORKDAYS(MAX(IF(OR('Cost Margin'!$B$14="Y",'Cost Margin'!$J32=""),'Cost Margin'!$B$8,'Cost Margin'!$J32),Q$5),MIN(IF(OR('Cost Margin'!$B$14="Y",'Cost Margin'!$K32=""),'Cost Margin'!$B$9,'Cost Margin'!$K32),Q$6),INDEX(Settings!$A$35:$D$74,0,MATCH('Cost Margin'!$C32,Settings!$A$34:$D$34,0))),NETWORKDAYS(MAX(IF(OR('Cost Margin'!$B$14="Y",'Cost Margin'!$J32=""),'Cost Margin'!$B$8,'Cost Margin'!$J32),Q$5),MIN(IF(OR('Cost Margin'!$B$14="Y",'Cost Margin'!$K32=""),'Cost Margin'!$B$9,'Cost Margin'!$K32),Q$6)))))</f>
        <v>0</v>
      </c>
      <c r="R24" s="35" t="n">
        <f aca="false">IF(OR(R$5="",'Cost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Margin'!$K32),R$6)&lt;MAX(IF(OR('Cost Margin'!$B$14="Y",'Cost Margin'!$J32=""),'Cost Margin'!$B$8,'Cost Margin'!$J32),R$5),0,IFERROR(NETWORKDAYS(MAX(IF(OR('Cost Margin'!$B$14="Y",'Cost Margin'!$J32=""),'Cost Margin'!$B$8,'Cost Margin'!$J32),R$5),MIN(IF(OR('Cost Margin'!$B$14="Y",'Cost Margin'!$K32=""),'Cost Margin'!$B$9,'Cost Margin'!$K32),R$6),INDEX(Settings!$A$35:$D$74,0,MATCH('Cost Margin'!$C32,Settings!$A$34:$D$34,0))),NETWORKDAYS(MAX(IF(OR('Cost Margin'!$B$14="Y",'Cost Margin'!$J32=""),'Cost Margin'!$B$8,'Cost Margin'!$J32),R$5),MIN(IF(OR('Cost Margin'!$B$14="Y",'Cost Margin'!$K32=""),'Cost Margin'!$B$9,'Cost Margin'!$K32),R$6)))))</f>
        <v>0</v>
      </c>
      <c r="S24" s="35" t="n">
        <f aca="false">IF(OR(S$5="",'Cost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Margin'!$K32),S$6)&lt;MAX(IF(OR('Cost Margin'!$B$14="Y",'Cost Margin'!$J32=""),'Cost Margin'!$B$8,'Cost Margin'!$J32),S$5),0,IFERROR(NETWORKDAYS(MAX(IF(OR('Cost Margin'!$B$14="Y",'Cost Margin'!$J32=""),'Cost Margin'!$B$8,'Cost Margin'!$J32),S$5),MIN(IF(OR('Cost Margin'!$B$14="Y",'Cost Margin'!$K32=""),'Cost Margin'!$B$9,'Cost Margin'!$K32),S$6),INDEX(Settings!$A$35:$D$74,0,MATCH('Cost Margin'!$C32,Settings!$A$34:$D$34,0))),NETWORKDAYS(MAX(IF(OR('Cost Margin'!$B$14="Y",'Cost Margin'!$J32=""),'Cost Margin'!$B$8,'Cost Margin'!$J32),S$5),MIN(IF(OR('Cost Margin'!$B$14="Y",'Cost Margin'!$K32=""),'Cost Margin'!$B$9,'Cost Margin'!$K32),S$6)))))</f>
        <v>0</v>
      </c>
      <c r="T24" s="35" t="n">
        <f aca="false">IF(OR(T$5="",'Cost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Margin'!$K32),T$6)&lt;MAX(IF(OR('Cost Margin'!$B$14="Y",'Cost Margin'!$J32=""),'Cost Margin'!$B$8,'Cost Margin'!$J32),T$5),0,IFERROR(NETWORKDAYS(MAX(IF(OR('Cost Margin'!$B$14="Y",'Cost Margin'!$J32=""),'Cost Margin'!$B$8,'Cost Margin'!$J32),T$5),MIN(IF(OR('Cost Margin'!$B$14="Y",'Cost Margin'!$K32=""),'Cost Margin'!$B$9,'Cost Margin'!$K32),T$6),INDEX(Settings!$A$35:$D$74,0,MATCH('Cost Margin'!$C32,Settings!$A$34:$D$34,0))),NETWORKDAYS(MAX(IF(OR('Cost Margin'!$B$14="Y",'Cost Margin'!$J32=""),'Cost Margin'!$B$8,'Cost Margin'!$J32),T$5),MIN(IF(OR('Cost Margin'!$B$14="Y",'Cost Margin'!$K32=""),'Cost Margin'!$B$9,'Cost Margin'!$K32),T$6)))))</f>
        <v>0</v>
      </c>
      <c r="U24" s="35" t="n">
        <f aca="false">IF(OR(U$5="",'Cost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Margin'!$K32),U$6)&lt;MAX(IF(OR('Cost Margin'!$B$14="Y",'Cost Margin'!$J32=""),'Cost Margin'!$B$8,'Cost Margin'!$J32),U$5),0,IFERROR(NETWORKDAYS(MAX(IF(OR('Cost Margin'!$B$14="Y",'Cost Margin'!$J32=""),'Cost Margin'!$B$8,'Cost Margin'!$J32),U$5),MIN(IF(OR('Cost Margin'!$B$14="Y",'Cost Margin'!$K32=""),'Cost Margin'!$B$9,'Cost Margin'!$K32),U$6),INDEX(Settings!$A$35:$D$74,0,MATCH('Cost Margin'!$C32,Settings!$A$34:$D$34,0))),NETWORKDAYS(MAX(IF(OR('Cost Margin'!$B$14="Y",'Cost Margin'!$J32=""),'Cost Margin'!$B$8,'Cost Margin'!$J32),U$5),MIN(IF(OR('Cost Margin'!$B$14="Y",'Cost Margin'!$K32=""),'Cost Margin'!$B$9,'Cost Margin'!$K32),U$6)))))</f>
        <v>0</v>
      </c>
      <c r="V24" s="35" t="n">
        <f aca="false">IF(OR(V$5="",'Cost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Margin'!$K32),V$6)&lt;MAX(IF(OR('Cost Margin'!$B$14="Y",'Cost Margin'!$J32=""),'Cost Margin'!$B$8,'Cost Margin'!$J32),V$5),0,IFERROR(NETWORKDAYS(MAX(IF(OR('Cost Margin'!$B$14="Y",'Cost Margin'!$J32=""),'Cost Margin'!$B$8,'Cost Margin'!$J32),V$5),MIN(IF(OR('Cost Margin'!$B$14="Y",'Cost Margin'!$K32=""),'Cost Margin'!$B$9,'Cost Margin'!$K32),V$6),INDEX(Settings!$A$35:$D$74,0,MATCH('Cost Margin'!$C32,Settings!$A$34:$D$34,0))),NETWORKDAYS(MAX(IF(OR('Cost Margin'!$B$14="Y",'Cost Margin'!$J32=""),'Cost Margin'!$B$8,'Cost Margin'!$J32),V$5),MIN(IF(OR('Cost Margin'!$B$14="Y",'Cost Margin'!$K32=""),'Cost Margin'!$B$9,'Cost Margin'!$K32),V$6)))))</f>
        <v>0</v>
      </c>
      <c r="W24" s="35" t="n">
        <f aca="false">IF(OR(W$5="",'Cost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Margin'!$K32),W$6)&lt;MAX(IF(OR('Cost Margin'!$B$14="Y",'Cost Margin'!$J32=""),'Cost Margin'!$B$8,'Cost Margin'!$J32),W$5),0,IFERROR(NETWORKDAYS(MAX(IF(OR('Cost Margin'!$B$14="Y",'Cost Margin'!$J32=""),'Cost Margin'!$B$8,'Cost Margin'!$J32),W$5),MIN(IF(OR('Cost Margin'!$B$14="Y",'Cost Margin'!$K32=""),'Cost Margin'!$B$9,'Cost Margin'!$K32),W$6),INDEX(Settings!$A$35:$D$74,0,MATCH('Cost Margin'!$C32,Settings!$A$34:$D$34,0))),NETWORKDAYS(MAX(IF(OR('Cost Margin'!$B$14="Y",'Cost Margin'!$J32=""),'Cost Margin'!$B$8,'Cost Margin'!$J32),W$5),MIN(IF(OR('Cost Margin'!$B$14="Y",'Cost Margin'!$K32=""),'Cost Margin'!$B$9,'Cost Margin'!$K32),W$6)))))</f>
        <v>0</v>
      </c>
      <c r="X24" s="35" t="n">
        <f aca="false">IF(OR(X$5="",'Cost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Margin'!$K32),X$6)&lt;MAX(IF(OR('Cost Margin'!$B$14="Y",'Cost Margin'!$J32=""),'Cost Margin'!$B$8,'Cost Margin'!$J32),X$5),0,IFERROR(NETWORKDAYS(MAX(IF(OR('Cost Margin'!$B$14="Y",'Cost Margin'!$J32=""),'Cost Margin'!$B$8,'Cost Margin'!$J32),X$5),MIN(IF(OR('Cost Margin'!$B$14="Y",'Cost Margin'!$K32=""),'Cost Margin'!$B$9,'Cost Margin'!$K32),X$6),INDEX(Settings!$A$35:$D$74,0,MATCH('Cost Margin'!$C32,Settings!$A$34:$D$34,0))),NETWORKDAYS(MAX(IF(OR('Cost Margin'!$B$14="Y",'Cost Margin'!$J32=""),'Cost Margin'!$B$8,'Cost Margin'!$J32),X$5),MIN(IF(OR('Cost Margin'!$B$14="Y",'Cost Margin'!$K32=""),'Cost Margin'!$B$9,'Cost Margin'!$K32),X$6)))))</f>
        <v>0</v>
      </c>
      <c r="Y24" s="35" t="n">
        <f aca="false">IF(OR(Y$5="",'Cost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Margin'!$K32),Y$6)&lt;MAX(IF(OR('Cost Margin'!$B$14="Y",'Cost Margin'!$J32=""),'Cost Margin'!$B$8,'Cost Margin'!$J32),Y$5),0,IFERROR(NETWORKDAYS(MAX(IF(OR('Cost Margin'!$B$14="Y",'Cost Margin'!$J32=""),'Cost Margin'!$B$8,'Cost Margin'!$J32),Y$5),MIN(IF(OR('Cost Margin'!$B$14="Y",'Cost Margin'!$K32=""),'Cost Margin'!$B$9,'Cost Margin'!$K32),Y$6),INDEX(Settings!$A$35:$D$74,0,MATCH('Cost Margin'!$C32,Settings!$A$34:$D$34,0))),NETWORKDAYS(MAX(IF(OR('Cost Margin'!$B$14="Y",'Cost Margin'!$J32=""),'Cost Margin'!$B$8,'Cost Margin'!$J32),Y$5),MIN(IF(OR('Cost Margin'!$B$14="Y",'Cost Margin'!$K32=""),'Cost Margin'!$B$9,'Cost Margin'!$K32),Y$6)))))</f>
        <v>0</v>
      </c>
      <c r="Z24" s="35" t="n">
        <f aca="false">IF(OR(Z$5="",'Cost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Margin'!$K32),Z$6)&lt;MAX(IF(OR('Cost Margin'!$B$14="Y",'Cost Margin'!$J32=""),'Cost Margin'!$B$8,'Cost Margin'!$J32),Z$5),0,IFERROR(NETWORKDAYS(MAX(IF(OR('Cost Margin'!$B$14="Y",'Cost Margin'!$J32=""),'Cost Margin'!$B$8,'Cost Margin'!$J32),Z$5),MIN(IF(OR('Cost Margin'!$B$14="Y",'Cost Margin'!$K32=""),'Cost Margin'!$B$9,'Cost Margin'!$K32),Z$6),INDEX(Settings!$A$35:$D$74,0,MATCH('Cost Margin'!$C32,Settings!$A$34:$D$34,0))),NETWORKDAYS(MAX(IF(OR('Cost Margin'!$B$14="Y",'Cost Margin'!$J32=""),'Cost Margin'!$B$8,'Cost Margin'!$J32),Z$5),MIN(IF(OR('Cost Margin'!$B$14="Y",'Cost Margin'!$K32=""),'Cost Margin'!$B$9,'Cost Margin'!$K32),Z$6)))))</f>
        <v>0</v>
      </c>
      <c r="AB24" s="34" t="str">
        <f aca="false">IF('Cost Margin'!A32="","",IF('Cost Margin'!E32="","(unassigned)",'Cost Margin'!E32))</f>
        <v/>
      </c>
    </row>
    <row r="25" customFormat="false" ht="15" hidden="false" customHeight="false" outlineLevel="0" collapsed="false">
      <c r="A25" s="0" t="n">
        <v>17</v>
      </c>
      <c r="B25" s="34" t="str">
        <f aca="false">IF('Cost Margin'!A33="","",'Cost Margin'!A33&amp;IF('Cost Margin'!E33="",""," · "&amp;'Cost Margin'!E33))</f>
        <v/>
      </c>
      <c r="C25" s="35" t="n">
        <f aca="false">IF(OR(C$5="",'Cost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Margin'!$K33),C$6)&lt;MAX(IF(OR('Cost Margin'!$B$14="Y",'Cost Margin'!$J33=""),'Cost Margin'!$B$8,'Cost Margin'!$J33),C$5),0,IFERROR(NETWORKDAYS(MAX(IF(OR('Cost Margin'!$B$14="Y",'Cost Margin'!$J33=""),'Cost Margin'!$B$8,'Cost Margin'!$J33),C$5),MIN(IF(OR('Cost Margin'!$B$14="Y",'Cost Margin'!$K33=""),'Cost Margin'!$B$9,'Cost Margin'!$K33),C$6),INDEX(Settings!$A$35:$D$74,0,MATCH('Cost Margin'!$C33,Settings!$A$34:$D$34,0))),NETWORKDAYS(MAX(IF(OR('Cost Margin'!$B$14="Y",'Cost Margin'!$J33=""),'Cost Margin'!$B$8,'Cost Margin'!$J33),C$5),MIN(IF(OR('Cost Margin'!$B$14="Y",'Cost Margin'!$K33=""),'Cost Margin'!$B$9,'Cost Margin'!$K33),C$6)))))</f>
        <v>0</v>
      </c>
      <c r="D25" s="35" t="n">
        <f aca="false">IF(OR(D$5="",'Cost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Margin'!$K33),D$6)&lt;MAX(IF(OR('Cost Margin'!$B$14="Y",'Cost Margin'!$J33=""),'Cost Margin'!$B$8,'Cost Margin'!$J33),D$5),0,IFERROR(NETWORKDAYS(MAX(IF(OR('Cost Margin'!$B$14="Y",'Cost Margin'!$J33=""),'Cost Margin'!$B$8,'Cost Margin'!$J33),D$5),MIN(IF(OR('Cost Margin'!$B$14="Y",'Cost Margin'!$K33=""),'Cost Margin'!$B$9,'Cost Margin'!$K33),D$6),INDEX(Settings!$A$35:$D$74,0,MATCH('Cost Margin'!$C33,Settings!$A$34:$D$34,0))),NETWORKDAYS(MAX(IF(OR('Cost Margin'!$B$14="Y",'Cost Margin'!$J33=""),'Cost Margin'!$B$8,'Cost Margin'!$J33),D$5),MIN(IF(OR('Cost Margin'!$B$14="Y",'Cost Margin'!$K33=""),'Cost Margin'!$B$9,'Cost Margin'!$K33),D$6)))))</f>
        <v>0</v>
      </c>
      <c r="E25" s="35" t="n">
        <f aca="false">IF(OR(E$5="",'Cost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Margin'!$K33),E$6)&lt;MAX(IF(OR('Cost Margin'!$B$14="Y",'Cost Margin'!$J33=""),'Cost Margin'!$B$8,'Cost Margin'!$J33),E$5),0,IFERROR(NETWORKDAYS(MAX(IF(OR('Cost Margin'!$B$14="Y",'Cost Margin'!$J33=""),'Cost Margin'!$B$8,'Cost Margin'!$J33),E$5),MIN(IF(OR('Cost Margin'!$B$14="Y",'Cost Margin'!$K33=""),'Cost Margin'!$B$9,'Cost Margin'!$K33),E$6),INDEX(Settings!$A$35:$D$74,0,MATCH('Cost Margin'!$C33,Settings!$A$34:$D$34,0))),NETWORKDAYS(MAX(IF(OR('Cost Margin'!$B$14="Y",'Cost Margin'!$J33=""),'Cost Margin'!$B$8,'Cost Margin'!$J33),E$5),MIN(IF(OR('Cost Margin'!$B$14="Y",'Cost Margin'!$K33=""),'Cost Margin'!$B$9,'Cost Margin'!$K33),E$6)))))</f>
        <v>0</v>
      </c>
      <c r="F25" s="35" t="n">
        <f aca="false">IF(OR(F$5="",'Cost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Margin'!$K33),F$6)&lt;MAX(IF(OR('Cost Margin'!$B$14="Y",'Cost Margin'!$J33=""),'Cost Margin'!$B$8,'Cost Margin'!$J33),F$5),0,IFERROR(NETWORKDAYS(MAX(IF(OR('Cost Margin'!$B$14="Y",'Cost Margin'!$J33=""),'Cost Margin'!$B$8,'Cost Margin'!$J33),F$5),MIN(IF(OR('Cost Margin'!$B$14="Y",'Cost Margin'!$K33=""),'Cost Margin'!$B$9,'Cost Margin'!$K33),F$6),INDEX(Settings!$A$35:$D$74,0,MATCH('Cost Margin'!$C33,Settings!$A$34:$D$34,0))),NETWORKDAYS(MAX(IF(OR('Cost Margin'!$B$14="Y",'Cost Margin'!$J33=""),'Cost Margin'!$B$8,'Cost Margin'!$J33),F$5),MIN(IF(OR('Cost Margin'!$B$14="Y",'Cost Margin'!$K33=""),'Cost Margin'!$B$9,'Cost Margin'!$K33),F$6)))))</f>
        <v>0</v>
      </c>
      <c r="G25" s="35" t="n">
        <f aca="false">IF(OR(G$5="",'Cost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Margin'!$K33),G$6)&lt;MAX(IF(OR('Cost Margin'!$B$14="Y",'Cost Margin'!$J33=""),'Cost Margin'!$B$8,'Cost Margin'!$J33),G$5),0,IFERROR(NETWORKDAYS(MAX(IF(OR('Cost Margin'!$B$14="Y",'Cost Margin'!$J33=""),'Cost Margin'!$B$8,'Cost Margin'!$J33),G$5),MIN(IF(OR('Cost Margin'!$B$14="Y",'Cost Margin'!$K33=""),'Cost Margin'!$B$9,'Cost Margin'!$K33),G$6),INDEX(Settings!$A$35:$D$74,0,MATCH('Cost Margin'!$C33,Settings!$A$34:$D$34,0))),NETWORKDAYS(MAX(IF(OR('Cost Margin'!$B$14="Y",'Cost Margin'!$J33=""),'Cost Margin'!$B$8,'Cost Margin'!$J33),G$5),MIN(IF(OR('Cost Margin'!$B$14="Y",'Cost Margin'!$K33=""),'Cost Margin'!$B$9,'Cost Margin'!$K33),G$6)))))</f>
        <v>0</v>
      </c>
      <c r="H25" s="35" t="n">
        <f aca="false">IF(OR(H$5="",'Cost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Margin'!$K33),H$6)&lt;MAX(IF(OR('Cost Margin'!$B$14="Y",'Cost Margin'!$J33=""),'Cost Margin'!$B$8,'Cost Margin'!$J33),H$5),0,IFERROR(NETWORKDAYS(MAX(IF(OR('Cost Margin'!$B$14="Y",'Cost Margin'!$J33=""),'Cost Margin'!$B$8,'Cost Margin'!$J33),H$5),MIN(IF(OR('Cost Margin'!$B$14="Y",'Cost Margin'!$K33=""),'Cost Margin'!$B$9,'Cost Margin'!$K33),H$6),INDEX(Settings!$A$35:$D$74,0,MATCH('Cost Margin'!$C33,Settings!$A$34:$D$34,0))),NETWORKDAYS(MAX(IF(OR('Cost Margin'!$B$14="Y",'Cost Margin'!$J33=""),'Cost Margin'!$B$8,'Cost Margin'!$J33),H$5),MIN(IF(OR('Cost Margin'!$B$14="Y",'Cost Margin'!$K33=""),'Cost Margin'!$B$9,'Cost Margin'!$K33),H$6)))))</f>
        <v>0</v>
      </c>
      <c r="I25" s="35" t="n">
        <f aca="false">IF(OR(I$5="",'Cost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Margin'!$K33),I$6)&lt;MAX(IF(OR('Cost Margin'!$B$14="Y",'Cost Margin'!$J33=""),'Cost Margin'!$B$8,'Cost Margin'!$J33),I$5),0,IFERROR(NETWORKDAYS(MAX(IF(OR('Cost Margin'!$B$14="Y",'Cost Margin'!$J33=""),'Cost Margin'!$B$8,'Cost Margin'!$J33),I$5),MIN(IF(OR('Cost Margin'!$B$14="Y",'Cost Margin'!$K33=""),'Cost Margin'!$B$9,'Cost Margin'!$K33),I$6),INDEX(Settings!$A$35:$D$74,0,MATCH('Cost Margin'!$C33,Settings!$A$34:$D$34,0))),NETWORKDAYS(MAX(IF(OR('Cost Margin'!$B$14="Y",'Cost Margin'!$J33=""),'Cost Margin'!$B$8,'Cost Margin'!$J33),I$5),MIN(IF(OR('Cost Margin'!$B$14="Y",'Cost Margin'!$K33=""),'Cost Margin'!$B$9,'Cost Margin'!$K33),I$6)))))</f>
        <v>0</v>
      </c>
      <c r="J25" s="35" t="n">
        <f aca="false">IF(OR(J$5="",'Cost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Margin'!$K33),J$6)&lt;MAX(IF(OR('Cost Margin'!$B$14="Y",'Cost Margin'!$J33=""),'Cost Margin'!$B$8,'Cost Margin'!$J33),J$5),0,IFERROR(NETWORKDAYS(MAX(IF(OR('Cost Margin'!$B$14="Y",'Cost Margin'!$J33=""),'Cost Margin'!$B$8,'Cost Margin'!$J33),J$5),MIN(IF(OR('Cost Margin'!$B$14="Y",'Cost Margin'!$K33=""),'Cost Margin'!$B$9,'Cost Margin'!$K33),J$6),INDEX(Settings!$A$35:$D$74,0,MATCH('Cost Margin'!$C33,Settings!$A$34:$D$34,0))),NETWORKDAYS(MAX(IF(OR('Cost Margin'!$B$14="Y",'Cost Margin'!$J33=""),'Cost Margin'!$B$8,'Cost Margin'!$J33),J$5),MIN(IF(OR('Cost Margin'!$B$14="Y",'Cost Margin'!$K33=""),'Cost Margin'!$B$9,'Cost Margin'!$K33),J$6)))))</f>
        <v>0</v>
      </c>
      <c r="K25" s="35" t="n">
        <f aca="false">IF(OR(K$5="",'Cost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Margin'!$K33),K$6)&lt;MAX(IF(OR('Cost Margin'!$B$14="Y",'Cost Margin'!$J33=""),'Cost Margin'!$B$8,'Cost Margin'!$J33),K$5),0,IFERROR(NETWORKDAYS(MAX(IF(OR('Cost Margin'!$B$14="Y",'Cost Margin'!$J33=""),'Cost Margin'!$B$8,'Cost Margin'!$J33),K$5),MIN(IF(OR('Cost Margin'!$B$14="Y",'Cost Margin'!$K33=""),'Cost Margin'!$B$9,'Cost Margin'!$K33),K$6),INDEX(Settings!$A$35:$D$74,0,MATCH('Cost Margin'!$C33,Settings!$A$34:$D$34,0))),NETWORKDAYS(MAX(IF(OR('Cost Margin'!$B$14="Y",'Cost Margin'!$J33=""),'Cost Margin'!$B$8,'Cost Margin'!$J33),K$5),MIN(IF(OR('Cost Margin'!$B$14="Y",'Cost Margin'!$K33=""),'Cost Margin'!$B$9,'Cost Margin'!$K33),K$6)))))</f>
        <v>0</v>
      </c>
      <c r="L25" s="35" t="n">
        <f aca="false">IF(OR(L$5="",'Cost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Margin'!$K33),L$6)&lt;MAX(IF(OR('Cost Margin'!$B$14="Y",'Cost Margin'!$J33=""),'Cost Margin'!$B$8,'Cost Margin'!$J33),L$5),0,IFERROR(NETWORKDAYS(MAX(IF(OR('Cost Margin'!$B$14="Y",'Cost Margin'!$J33=""),'Cost Margin'!$B$8,'Cost Margin'!$J33),L$5),MIN(IF(OR('Cost Margin'!$B$14="Y",'Cost Margin'!$K33=""),'Cost Margin'!$B$9,'Cost Margin'!$K33),L$6),INDEX(Settings!$A$35:$D$74,0,MATCH('Cost Margin'!$C33,Settings!$A$34:$D$34,0))),NETWORKDAYS(MAX(IF(OR('Cost Margin'!$B$14="Y",'Cost Margin'!$J33=""),'Cost Margin'!$B$8,'Cost Margin'!$J33),L$5),MIN(IF(OR('Cost Margin'!$B$14="Y",'Cost Margin'!$K33=""),'Cost Margin'!$B$9,'Cost Margin'!$K33),L$6)))))</f>
        <v>0</v>
      </c>
      <c r="M25" s="35" t="n">
        <f aca="false">IF(OR(M$5="",'Cost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Margin'!$K33),M$6)&lt;MAX(IF(OR('Cost Margin'!$B$14="Y",'Cost Margin'!$J33=""),'Cost Margin'!$B$8,'Cost Margin'!$J33),M$5),0,IFERROR(NETWORKDAYS(MAX(IF(OR('Cost Margin'!$B$14="Y",'Cost Margin'!$J33=""),'Cost Margin'!$B$8,'Cost Margin'!$J33),M$5),MIN(IF(OR('Cost Margin'!$B$14="Y",'Cost Margin'!$K33=""),'Cost Margin'!$B$9,'Cost Margin'!$K33),M$6),INDEX(Settings!$A$35:$D$74,0,MATCH('Cost Margin'!$C33,Settings!$A$34:$D$34,0))),NETWORKDAYS(MAX(IF(OR('Cost Margin'!$B$14="Y",'Cost Margin'!$J33=""),'Cost Margin'!$B$8,'Cost Margin'!$J33),M$5),MIN(IF(OR('Cost Margin'!$B$14="Y",'Cost Margin'!$K33=""),'Cost Margin'!$B$9,'Cost Margin'!$K33),M$6)))))</f>
        <v>0</v>
      </c>
      <c r="N25" s="35" t="n">
        <f aca="false">IF(OR(N$5="",'Cost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Margin'!$K33),N$6)&lt;MAX(IF(OR('Cost Margin'!$B$14="Y",'Cost Margin'!$J33=""),'Cost Margin'!$B$8,'Cost Margin'!$J33),N$5),0,IFERROR(NETWORKDAYS(MAX(IF(OR('Cost Margin'!$B$14="Y",'Cost Margin'!$J33=""),'Cost Margin'!$B$8,'Cost Margin'!$J33),N$5),MIN(IF(OR('Cost Margin'!$B$14="Y",'Cost Margin'!$K33=""),'Cost Margin'!$B$9,'Cost Margin'!$K33),N$6),INDEX(Settings!$A$35:$D$74,0,MATCH('Cost Margin'!$C33,Settings!$A$34:$D$34,0))),NETWORKDAYS(MAX(IF(OR('Cost Margin'!$B$14="Y",'Cost Margin'!$J33=""),'Cost Margin'!$B$8,'Cost Margin'!$J33),N$5),MIN(IF(OR('Cost Margin'!$B$14="Y",'Cost Margin'!$K33=""),'Cost Margin'!$B$9,'Cost Margin'!$K33),N$6)))))</f>
        <v>0</v>
      </c>
      <c r="O25" s="35" t="n">
        <f aca="false">IF(OR(O$5="",'Cost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Margin'!$K33),O$6)&lt;MAX(IF(OR('Cost Margin'!$B$14="Y",'Cost Margin'!$J33=""),'Cost Margin'!$B$8,'Cost Margin'!$J33),O$5),0,IFERROR(NETWORKDAYS(MAX(IF(OR('Cost Margin'!$B$14="Y",'Cost Margin'!$J33=""),'Cost Margin'!$B$8,'Cost Margin'!$J33),O$5),MIN(IF(OR('Cost Margin'!$B$14="Y",'Cost Margin'!$K33=""),'Cost Margin'!$B$9,'Cost Margin'!$K33),O$6),INDEX(Settings!$A$35:$D$74,0,MATCH('Cost Margin'!$C33,Settings!$A$34:$D$34,0))),NETWORKDAYS(MAX(IF(OR('Cost Margin'!$B$14="Y",'Cost Margin'!$J33=""),'Cost Margin'!$B$8,'Cost Margin'!$J33),O$5),MIN(IF(OR('Cost Margin'!$B$14="Y",'Cost Margin'!$K33=""),'Cost Margin'!$B$9,'Cost Margin'!$K33),O$6)))))</f>
        <v>0</v>
      </c>
      <c r="P25" s="35" t="n">
        <f aca="false">IF(OR(P$5="",'Cost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Margin'!$K33),P$6)&lt;MAX(IF(OR('Cost Margin'!$B$14="Y",'Cost Margin'!$J33=""),'Cost Margin'!$B$8,'Cost Margin'!$J33),P$5),0,IFERROR(NETWORKDAYS(MAX(IF(OR('Cost Margin'!$B$14="Y",'Cost Margin'!$J33=""),'Cost Margin'!$B$8,'Cost Margin'!$J33),P$5),MIN(IF(OR('Cost Margin'!$B$14="Y",'Cost Margin'!$K33=""),'Cost Margin'!$B$9,'Cost Margin'!$K33),P$6),INDEX(Settings!$A$35:$D$74,0,MATCH('Cost Margin'!$C33,Settings!$A$34:$D$34,0))),NETWORKDAYS(MAX(IF(OR('Cost Margin'!$B$14="Y",'Cost Margin'!$J33=""),'Cost Margin'!$B$8,'Cost Margin'!$J33),P$5),MIN(IF(OR('Cost Margin'!$B$14="Y",'Cost Margin'!$K33=""),'Cost Margin'!$B$9,'Cost Margin'!$K33),P$6)))))</f>
        <v>0</v>
      </c>
      <c r="Q25" s="35" t="n">
        <f aca="false">IF(OR(Q$5="",'Cost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Margin'!$K33),Q$6)&lt;MAX(IF(OR('Cost Margin'!$B$14="Y",'Cost Margin'!$J33=""),'Cost Margin'!$B$8,'Cost Margin'!$J33),Q$5),0,IFERROR(NETWORKDAYS(MAX(IF(OR('Cost Margin'!$B$14="Y",'Cost Margin'!$J33=""),'Cost Margin'!$B$8,'Cost Margin'!$J33),Q$5),MIN(IF(OR('Cost Margin'!$B$14="Y",'Cost Margin'!$K33=""),'Cost Margin'!$B$9,'Cost Margin'!$K33),Q$6),INDEX(Settings!$A$35:$D$74,0,MATCH('Cost Margin'!$C33,Settings!$A$34:$D$34,0))),NETWORKDAYS(MAX(IF(OR('Cost Margin'!$B$14="Y",'Cost Margin'!$J33=""),'Cost Margin'!$B$8,'Cost Margin'!$J33),Q$5),MIN(IF(OR('Cost Margin'!$B$14="Y",'Cost Margin'!$K33=""),'Cost Margin'!$B$9,'Cost Margin'!$K33),Q$6)))))</f>
        <v>0</v>
      </c>
      <c r="R25" s="35" t="n">
        <f aca="false">IF(OR(R$5="",'Cost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Margin'!$K33),R$6)&lt;MAX(IF(OR('Cost Margin'!$B$14="Y",'Cost Margin'!$J33=""),'Cost Margin'!$B$8,'Cost Margin'!$J33),R$5),0,IFERROR(NETWORKDAYS(MAX(IF(OR('Cost Margin'!$B$14="Y",'Cost Margin'!$J33=""),'Cost Margin'!$B$8,'Cost Margin'!$J33),R$5),MIN(IF(OR('Cost Margin'!$B$14="Y",'Cost Margin'!$K33=""),'Cost Margin'!$B$9,'Cost Margin'!$K33),R$6),INDEX(Settings!$A$35:$D$74,0,MATCH('Cost Margin'!$C33,Settings!$A$34:$D$34,0))),NETWORKDAYS(MAX(IF(OR('Cost Margin'!$B$14="Y",'Cost Margin'!$J33=""),'Cost Margin'!$B$8,'Cost Margin'!$J33),R$5),MIN(IF(OR('Cost Margin'!$B$14="Y",'Cost Margin'!$K33=""),'Cost Margin'!$B$9,'Cost Margin'!$K33),R$6)))))</f>
        <v>0</v>
      </c>
      <c r="S25" s="35" t="n">
        <f aca="false">IF(OR(S$5="",'Cost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Margin'!$K33),S$6)&lt;MAX(IF(OR('Cost Margin'!$B$14="Y",'Cost Margin'!$J33=""),'Cost Margin'!$B$8,'Cost Margin'!$J33),S$5),0,IFERROR(NETWORKDAYS(MAX(IF(OR('Cost Margin'!$B$14="Y",'Cost Margin'!$J33=""),'Cost Margin'!$B$8,'Cost Margin'!$J33),S$5),MIN(IF(OR('Cost Margin'!$B$14="Y",'Cost Margin'!$K33=""),'Cost Margin'!$B$9,'Cost Margin'!$K33),S$6),INDEX(Settings!$A$35:$D$74,0,MATCH('Cost Margin'!$C33,Settings!$A$34:$D$34,0))),NETWORKDAYS(MAX(IF(OR('Cost Margin'!$B$14="Y",'Cost Margin'!$J33=""),'Cost Margin'!$B$8,'Cost Margin'!$J33),S$5),MIN(IF(OR('Cost Margin'!$B$14="Y",'Cost Margin'!$K33=""),'Cost Margin'!$B$9,'Cost Margin'!$K33),S$6)))))</f>
        <v>0</v>
      </c>
      <c r="T25" s="35" t="n">
        <f aca="false">IF(OR(T$5="",'Cost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Margin'!$K33),T$6)&lt;MAX(IF(OR('Cost Margin'!$B$14="Y",'Cost Margin'!$J33=""),'Cost Margin'!$B$8,'Cost Margin'!$J33),T$5),0,IFERROR(NETWORKDAYS(MAX(IF(OR('Cost Margin'!$B$14="Y",'Cost Margin'!$J33=""),'Cost Margin'!$B$8,'Cost Margin'!$J33),T$5),MIN(IF(OR('Cost Margin'!$B$14="Y",'Cost Margin'!$K33=""),'Cost Margin'!$B$9,'Cost Margin'!$K33),T$6),INDEX(Settings!$A$35:$D$74,0,MATCH('Cost Margin'!$C33,Settings!$A$34:$D$34,0))),NETWORKDAYS(MAX(IF(OR('Cost Margin'!$B$14="Y",'Cost Margin'!$J33=""),'Cost Margin'!$B$8,'Cost Margin'!$J33),T$5),MIN(IF(OR('Cost Margin'!$B$14="Y",'Cost Margin'!$K33=""),'Cost Margin'!$B$9,'Cost Margin'!$K33),T$6)))))</f>
        <v>0</v>
      </c>
      <c r="U25" s="35" t="n">
        <f aca="false">IF(OR(U$5="",'Cost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Margin'!$K33),U$6)&lt;MAX(IF(OR('Cost Margin'!$B$14="Y",'Cost Margin'!$J33=""),'Cost Margin'!$B$8,'Cost Margin'!$J33),U$5),0,IFERROR(NETWORKDAYS(MAX(IF(OR('Cost Margin'!$B$14="Y",'Cost Margin'!$J33=""),'Cost Margin'!$B$8,'Cost Margin'!$J33),U$5),MIN(IF(OR('Cost Margin'!$B$14="Y",'Cost Margin'!$K33=""),'Cost Margin'!$B$9,'Cost Margin'!$K33),U$6),INDEX(Settings!$A$35:$D$74,0,MATCH('Cost Margin'!$C33,Settings!$A$34:$D$34,0))),NETWORKDAYS(MAX(IF(OR('Cost Margin'!$B$14="Y",'Cost Margin'!$J33=""),'Cost Margin'!$B$8,'Cost Margin'!$J33),U$5),MIN(IF(OR('Cost Margin'!$B$14="Y",'Cost Margin'!$K33=""),'Cost Margin'!$B$9,'Cost Margin'!$K33),U$6)))))</f>
        <v>0</v>
      </c>
      <c r="V25" s="35" t="n">
        <f aca="false">IF(OR(V$5="",'Cost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Margin'!$K33),V$6)&lt;MAX(IF(OR('Cost Margin'!$B$14="Y",'Cost Margin'!$J33=""),'Cost Margin'!$B$8,'Cost Margin'!$J33),V$5),0,IFERROR(NETWORKDAYS(MAX(IF(OR('Cost Margin'!$B$14="Y",'Cost Margin'!$J33=""),'Cost Margin'!$B$8,'Cost Margin'!$J33),V$5),MIN(IF(OR('Cost Margin'!$B$14="Y",'Cost Margin'!$K33=""),'Cost Margin'!$B$9,'Cost Margin'!$K33),V$6),INDEX(Settings!$A$35:$D$74,0,MATCH('Cost Margin'!$C33,Settings!$A$34:$D$34,0))),NETWORKDAYS(MAX(IF(OR('Cost Margin'!$B$14="Y",'Cost Margin'!$J33=""),'Cost Margin'!$B$8,'Cost Margin'!$J33),V$5),MIN(IF(OR('Cost Margin'!$B$14="Y",'Cost Margin'!$K33=""),'Cost Margin'!$B$9,'Cost Margin'!$K33),V$6)))))</f>
        <v>0</v>
      </c>
      <c r="W25" s="35" t="n">
        <f aca="false">IF(OR(W$5="",'Cost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Margin'!$K33),W$6)&lt;MAX(IF(OR('Cost Margin'!$B$14="Y",'Cost Margin'!$J33=""),'Cost Margin'!$B$8,'Cost Margin'!$J33),W$5),0,IFERROR(NETWORKDAYS(MAX(IF(OR('Cost Margin'!$B$14="Y",'Cost Margin'!$J33=""),'Cost Margin'!$B$8,'Cost Margin'!$J33),W$5),MIN(IF(OR('Cost Margin'!$B$14="Y",'Cost Margin'!$K33=""),'Cost Margin'!$B$9,'Cost Margin'!$K33),W$6),INDEX(Settings!$A$35:$D$74,0,MATCH('Cost Margin'!$C33,Settings!$A$34:$D$34,0))),NETWORKDAYS(MAX(IF(OR('Cost Margin'!$B$14="Y",'Cost Margin'!$J33=""),'Cost Margin'!$B$8,'Cost Margin'!$J33),W$5),MIN(IF(OR('Cost Margin'!$B$14="Y",'Cost Margin'!$K33=""),'Cost Margin'!$B$9,'Cost Margin'!$K33),W$6)))))</f>
        <v>0</v>
      </c>
      <c r="X25" s="35" t="n">
        <f aca="false">IF(OR(X$5="",'Cost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Margin'!$K33),X$6)&lt;MAX(IF(OR('Cost Margin'!$B$14="Y",'Cost Margin'!$J33=""),'Cost Margin'!$B$8,'Cost Margin'!$J33),X$5),0,IFERROR(NETWORKDAYS(MAX(IF(OR('Cost Margin'!$B$14="Y",'Cost Margin'!$J33=""),'Cost Margin'!$B$8,'Cost Margin'!$J33),X$5),MIN(IF(OR('Cost Margin'!$B$14="Y",'Cost Margin'!$K33=""),'Cost Margin'!$B$9,'Cost Margin'!$K33),X$6),INDEX(Settings!$A$35:$D$74,0,MATCH('Cost Margin'!$C33,Settings!$A$34:$D$34,0))),NETWORKDAYS(MAX(IF(OR('Cost Margin'!$B$14="Y",'Cost Margin'!$J33=""),'Cost Margin'!$B$8,'Cost Margin'!$J33),X$5),MIN(IF(OR('Cost Margin'!$B$14="Y",'Cost Margin'!$K33=""),'Cost Margin'!$B$9,'Cost Margin'!$K33),X$6)))))</f>
        <v>0</v>
      </c>
      <c r="Y25" s="35" t="n">
        <f aca="false">IF(OR(Y$5="",'Cost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Margin'!$K33),Y$6)&lt;MAX(IF(OR('Cost Margin'!$B$14="Y",'Cost Margin'!$J33=""),'Cost Margin'!$B$8,'Cost Margin'!$J33),Y$5),0,IFERROR(NETWORKDAYS(MAX(IF(OR('Cost Margin'!$B$14="Y",'Cost Margin'!$J33=""),'Cost Margin'!$B$8,'Cost Margin'!$J33),Y$5),MIN(IF(OR('Cost Margin'!$B$14="Y",'Cost Margin'!$K33=""),'Cost Margin'!$B$9,'Cost Margin'!$K33),Y$6),INDEX(Settings!$A$35:$D$74,0,MATCH('Cost Margin'!$C33,Settings!$A$34:$D$34,0))),NETWORKDAYS(MAX(IF(OR('Cost Margin'!$B$14="Y",'Cost Margin'!$J33=""),'Cost Margin'!$B$8,'Cost Margin'!$J33),Y$5),MIN(IF(OR('Cost Margin'!$B$14="Y",'Cost Margin'!$K33=""),'Cost Margin'!$B$9,'Cost Margin'!$K33),Y$6)))))</f>
        <v>0</v>
      </c>
      <c r="Z25" s="35" t="n">
        <f aca="false">IF(OR(Z$5="",'Cost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Margin'!$K33),Z$6)&lt;MAX(IF(OR('Cost Margin'!$B$14="Y",'Cost Margin'!$J33=""),'Cost Margin'!$B$8,'Cost Margin'!$J33),Z$5),0,IFERROR(NETWORKDAYS(MAX(IF(OR('Cost Margin'!$B$14="Y",'Cost Margin'!$J33=""),'Cost Margin'!$B$8,'Cost Margin'!$J33),Z$5),MIN(IF(OR('Cost Margin'!$B$14="Y",'Cost Margin'!$K33=""),'Cost Margin'!$B$9,'Cost Margin'!$K33),Z$6),INDEX(Settings!$A$35:$D$74,0,MATCH('Cost Margin'!$C33,Settings!$A$34:$D$34,0))),NETWORKDAYS(MAX(IF(OR('Cost Margin'!$B$14="Y",'Cost Margin'!$J33=""),'Cost Margin'!$B$8,'Cost Margin'!$J33),Z$5),MIN(IF(OR('Cost Margin'!$B$14="Y",'Cost Margin'!$K33=""),'Cost Margin'!$B$9,'Cost Margin'!$K33),Z$6)))))</f>
        <v>0</v>
      </c>
      <c r="AB25" s="34" t="str">
        <f aca="false">IF('Cost Margin'!A33="","",IF('Cost Margin'!E33="","(unassigned)",'Cost Margin'!E33))</f>
        <v/>
      </c>
    </row>
    <row r="26" customFormat="false" ht="15" hidden="false" customHeight="false" outlineLevel="0" collapsed="false">
      <c r="A26" s="0" t="n">
        <v>18</v>
      </c>
      <c r="B26" s="34" t="str">
        <f aca="false">IF('Cost Margin'!A34="","",'Cost Margin'!A34&amp;IF('Cost Margin'!E34="",""," · "&amp;'Cost Margin'!E34))</f>
        <v/>
      </c>
      <c r="C26" s="35" t="n">
        <f aca="false">IF(OR(C$5="",'Cost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Margin'!$K34),C$6)&lt;MAX(IF(OR('Cost Margin'!$B$14="Y",'Cost Margin'!$J34=""),'Cost Margin'!$B$8,'Cost Margin'!$J34),C$5),0,IFERROR(NETWORKDAYS(MAX(IF(OR('Cost Margin'!$B$14="Y",'Cost Margin'!$J34=""),'Cost Margin'!$B$8,'Cost Margin'!$J34),C$5),MIN(IF(OR('Cost Margin'!$B$14="Y",'Cost Margin'!$K34=""),'Cost Margin'!$B$9,'Cost Margin'!$K34),C$6),INDEX(Settings!$A$35:$D$74,0,MATCH('Cost Margin'!$C34,Settings!$A$34:$D$34,0))),NETWORKDAYS(MAX(IF(OR('Cost Margin'!$B$14="Y",'Cost Margin'!$J34=""),'Cost Margin'!$B$8,'Cost Margin'!$J34),C$5),MIN(IF(OR('Cost Margin'!$B$14="Y",'Cost Margin'!$K34=""),'Cost Margin'!$B$9,'Cost Margin'!$K34),C$6)))))</f>
        <v>0</v>
      </c>
      <c r="D26" s="35" t="n">
        <f aca="false">IF(OR(D$5="",'Cost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Margin'!$K34),D$6)&lt;MAX(IF(OR('Cost Margin'!$B$14="Y",'Cost Margin'!$J34=""),'Cost Margin'!$B$8,'Cost Margin'!$J34),D$5),0,IFERROR(NETWORKDAYS(MAX(IF(OR('Cost Margin'!$B$14="Y",'Cost Margin'!$J34=""),'Cost Margin'!$B$8,'Cost Margin'!$J34),D$5),MIN(IF(OR('Cost Margin'!$B$14="Y",'Cost Margin'!$K34=""),'Cost Margin'!$B$9,'Cost Margin'!$K34),D$6),INDEX(Settings!$A$35:$D$74,0,MATCH('Cost Margin'!$C34,Settings!$A$34:$D$34,0))),NETWORKDAYS(MAX(IF(OR('Cost Margin'!$B$14="Y",'Cost Margin'!$J34=""),'Cost Margin'!$B$8,'Cost Margin'!$J34),D$5),MIN(IF(OR('Cost Margin'!$B$14="Y",'Cost Margin'!$K34=""),'Cost Margin'!$B$9,'Cost Margin'!$K34),D$6)))))</f>
        <v>0</v>
      </c>
      <c r="E26" s="35" t="n">
        <f aca="false">IF(OR(E$5="",'Cost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Margin'!$K34),E$6)&lt;MAX(IF(OR('Cost Margin'!$B$14="Y",'Cost Margin'!$J34=""),'Cost Margin'!$B$8,'Cost Margin'!$J34),E$5),0,IFERROR(NETWORKDAYS(MAX(IF(OR('Cost Margin'!$B$14="Y",'Cost Margin'!$J34=""),'Cost Margin'!$B$8,'Cost Margin'!$J34),E$5),MIN(IF(OR('Cost Margin'!$B$14="Y",'Cost Margin'!$K34=""),'Cost Margin'!$B$9,'Cost Margin'!$K34),E$6),INDEX(Settings!$A$35:$D$74,0,MATCH('Cost Margin'!$C34,Settings!$A$34:$D$34,0))),NETWORKDAYS(MAX(IF(OR('Cost Margin'!$B$14="Y",'Cost Margin'!$J34=""),'Cost Margin'!$B$8,'Cost Margin'!$J34),E$5),MIN(IF(OR('Cost Margin'!$B$14="Y",'Cost Margin'!$K34=""),'Cost Margin'!$B$9,'Cost Margin'!$K34),E$6)))))</f>
        <v>0</v>
      </c>
      <c r="F26" s="35" t="n">
        <f aca="false">IF(OR(F$5="",'Cost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Margin'!$K34),F$6)&lt;MAX(IF(OR('Cost Margin'!$B$14="Y",'Cost Margin'!$J34=""),'Cost Margin'!$B$8,'Cost Margin'!$J34),F$5),0,IFERROR(NETWORKDAYS(MAX(IF(OR('Cost Margin'!$B$14="Y",'Cost Margin'!$J34=""),'Cost Margin'!$B$8,'Cost Margin'!$J34),F$5),MIN(IF(OR('Cost Margin'!$B$14="Y",'Cost Margin'!$K34=""),'Cost Margin'!$B$9,'Cost Margin'!$K34),F$6),INDEX(Settings!$A$35:$D$74,0,MATCH('Cost Margin'!$C34,Settings!$A$34:$D$34,0))),NETWORKDAYS(MAX(IF(OR('Cost Margin'!$B$14="Y",'Cost Margin'!$J34=""),'Cost Margin'!$B$8,'Cost Margin'!$J34),F$5),MIN(IF(OR('Cost Margin'!$B$14="Y",'Cost Margin'!$K34=""),'Cost Margin'!$B$9,'Cost Margin'!$K34),F$6)))))</f>
        <v>0</v>
      </c>
      <c r="G26" s="35" t="n">
        <f aca="false">IF(OR(G$5="",'Cost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Margin'!$K34),G$6)&lt;MAX(IF(OR('Cost Margin'!$B$14="Y",'Cost Margin'!$J34=""),'Cost Margin'!$B$8,'Cost Margin'!$J34),G$5),0,IFERROR(NETWORKDAYS(MAX(IF(OR('Cost Margin'!$B$14="Y",'Cost Margin'!$J34=""),'Cost Margin'!$B$8,'Cost Margin'!$J34),G$5),MIN(IF(OR('Cost Margin'!$B$14="Y",'Cost Margin'!$K34=""),'Cost Margin'!$B$9,'Cost Margin'!$K34),G$6),INDEX(Settings!$A$35:$D$74,0,MATCH('Cost Margin'!$C34,Settings!$A$34:$D$34,0))),NETWORKDAYS(MAX(IF(OR('Cost Margin'!$B$14="Y",'Cost Margin'!$J34=""),'Cost Margin'!$B$8,'Cost Margin'!$J34),G$5),MIN(IF(OR('Cost Margin'!$B$14="Y",'Cost Margin'!$K34=""),'Cost Margin'!$B$9,'Cost Margin'!$K34),G$6)))))</f>
        <v>0</v>
      </c>
      <c r="H26" s="35" t="n">
        <f aca="false">IF(OR(H$5="",'Cost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Margin'!$K34),H$6)&lt;MAX(IF(OR('Cost Margin'!$B$14="Y",'Cost Margin'!$J34=""),'Cost Margin'!$B$8,'Cost Margin'!$J34),H$5),0,IFERROR(NETWORKDAYS(MAX(IF(OR('Cost Margin'!$B$14="Y",'Cost Margin'!$J34=""),'Cost Margin'!$B$8,'Cost Margin'!$J34),H$5),MIN(IF(OR('Cost Margin'!$B$14="Y",'Cost Margin'!$K34=""),'Cost Margin'!$B$9,'Cost Margin'!$K34),H$6),INDEX(Settings!$A$35:$D$74,0,MATCH('Cost Margin'!$C34,Settings!$A$34:$D$34,0))),NETWORKDAYS(MAX(IF(OR('Cost Margin'!$B$14="Y",'Cost Margin'!$J34=""),'Cost Margin'!$B$8,'Cost Margin'!$J34),H$5),MIN(IF(OR('Cost Margin'!$B$14="Y",'Cost Margin'!$K34=""),'Cost Margin'!$B$9,'Cost Margin'!$K34),H$6)))))</f>
        <v>0</v>
      </c>
      <c r="I26" s="35" t="n">
        <f aca="false">IF(OR(I$5="",'Cost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Margin'!$K34),I$6)&lt;MAX(IF(OR('Cost Margin'!$B$14="Y",'Cost Margin'!$J34=""),'Cost Margin'!$B$8,'Cost Margin'!$J34),I$5),0,IFERROR(NETWORKDAYS(MAX(IF(OR('Cost Margin'!$B$14="Y",'Cost Margin'!$J34=""),'Cost Margin'!$B$8,'Cost Margin'!$J34),I$5),MIN(IF(OR('Cost Margin'!$B$14="Y",'Cost Margin'!$K34=""),'Cost Margin'!$B$9,'Cost Margin'!$K34),I$6),INDEX(Settings!$A$35:$D$74,0,MATCH('Cost Margin'!$C34,Settings!$A$34:$D$34,0))),NETWORKDAYS(MAX(IF(OR('Cost Margin'!$B$14="Y",'Cost Margin'!$J34=""),'Cost Margin'!$B$8,'Cost Margin'!$J34),I$5),MIN(IF(OR('Cost Margin'!$B$14="Y",'Cost Margin'!$K34=""),'Cost Margin'!$B$9,'Cost Margin'!$K34),I$6)))))</f>
        <v>0</v>
      </c>
      <c r="J26" s="35" t="n">
        <f aca="false">IF(OR(J$5="",'Cost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Margin'!$K34),J$6)&lt;MAX(IF(OR('Cost Margin'!$B$14="Y",'Cost Margin'!$J34=""),'Cost Margin'!$B$8,'Cost Margin'!$J34),J$5),0,IFERROR(NETWORKDAYS(MAX(IF(OR('Cost Margin'!$B$14="Y",'Cost Margin'!$J34=""),'Cost Margin'!$B$8,'Cost Margin'!$J34),J$5),MIN(IF(OR('Cost Margin'!$B$14="Y",'Cost Margin'!$K34=""),'Cost Margin'!$B$9,'Cost Margin'!$K34),J$6),INDEX(Settings!$A$35:$D$74,0,MATCH('Cost Margin'!$C34,Settings!$A$34:$D$34,0))),NETWORKDAYS(MAX(IF(OR('Cost Margin'!$B$14="Y",'Cost Margin'!$J34=""),'Cost Margin'!$B$8,'Cost Margin'!$J34),J$5),MIN(IF(OR('Cost Margin'!$B$14="Y",'Cost Margin'!$K34=""),'Cost Margin'!$B$9,'Cost Margin'!$K34),J$6)))))</f>
        <v>0</v>
      </c>
      <c r="K26" s="35" t="n">
        <f aca="false">IF(OR(K$5="",'Cost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Margin'!$K34),K$6)&lt;MAX(IF(OR('Cost Margin'!$B$14="Y",'Cost Margin'!$J34=""),'Cost Margin'!$B$8,'Cost Margin'!$J34),K$5),0,IFERROR(NETWORKDAYS(MAX(IF(OR('Cost Margin'!$B$14="Y",'Cost Margin'!$J34=""),'Cost Margin'!$B$8,'Cost Margin'!$J34),K$5),MIN(IF(OR('Cost Margin'!$B$14="Y",'Cost Margin'!$K34=""),'Cost Margin'!$B$9,'Cost Margin'!$K34),K$6),INDEX(Settings!$A$35:$D$74,0,MATCH('Cost Margin'!$C34,Settings!$A$34:$D$34,0))),NETWORKDAYS(MAX(IF(OR('Cost Margin'!$B$14="Y",'Cost Margin'!$J34=""),'Cost Margin'!$B$8,'Cost Margin'!$J34),K$5),MIN(IF(OR('Cost Margin'!$B$14="Y",'Cost Margin'!$K34=""),'Cost Margin'!$B$9,'Cost Margin'!$K34),K$6)))))</f>
        <v>0</v>
      </c>
      <c r="L26" s="35" t="n">
        <f aca="false">IF(OR(L$5="",'Cost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Margin'!$K34),L$6)&lt;MAX(IF(OR('Cost Margin'!$B$14="Y",'Cost Margin'!$J34=""),'Cost Margin'!$B$8,'Cost Margin'!$J34),L$5),0,IFERROR(NETWORKDAYS(MAX(IF(OR('Cost Margin'!$B$14="Y",'Cost Margin'!$J34=""),'Cost Margin'!$B$8,'Cost Margin'!$J34),L$5),MIN(IF(OR('Cost Margin'!$B$14="Y",'Cost Margin'!$K34=""),'Cost Margin'!$B$9,'Cost Margin'!$K34),L$6),INDEX(Settings!$A$35:$D$74,0,MATCH('Cost Margin'!$C34,Settings!$A$34:$D$34,0))),NETWORKDAYS(MAX(IF(OR('Cost Margin'!$B$14="Y",'Cost Margin'!$J34=""),'Cost Margin'!$B$8,'Cost Margin'!$J34),L$5),MIN(IF(OR('Cost Margin'!$B$14="Y",'Cost Margin'!$K34=""),'Cost Margin'!$B$9,'Cost Margin'!$K34),L$6)))))</f>
        <v>0</v>
      </c>
      <c r="M26" s="35" t="n">
        <f aca="false">IF(OR(M$5="",'Cost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Margin'!$K34),M$6)&lt;MAX(IF(OR('Cost Margin'!$B$14="Y",'Cost Margin'!$J34=""),'Cost Margin'!$B$8,'Cost Margin'!$J34),M$5),0,IFERROR(NETWORKDAYS(MAX(IF(OR('Cost Margin'!$B$14="Y",'Cost Margin'!$J34=""),'Cost Margin'!$B$8,'Cost Margin'!$J34),M$5),MIN(IF(OR('Cost Margin'!$B$14="Y",'Cost Margin'!$K34=""),'Cost Margin'!$B$9,'Cost Margin'!$K34),M$6),INDEX(Settings!$A$35:$D$74,0,MATCH('Cost Margin'!$C34,Settings!$A$34:$D$34,0))),NETWORKDAYS(MAX(IF(OR('Cost Margin'!$B$14="Y",'Cost Margin'!$J34=""),'Cost Margin'!$B$8,'Cost Margin'!$J34),M$5),MIN(IF(OR('Cost Margin'!$B$14="Y",'Cost Margin'!$K34=""),'Cost Margin'!$B$9,'Cost Margin'!$K34),M$6)))))</f>
        <v>0</v>
      </c>
      <c r="N26" s="35" t="n">
        <f aca="false">IF(OR(N$5="",'Cost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Margin'!$K34),N$6)&lt;MAX(IF(OR('Cost Margin'!$B$14="Y",'Cost Margin'!$J34=""),'Cost Margin'!$B$8,'Cost Margin'!$J34),N$5),0,IFERROR(NETWORKDAYS(MAX(IF(OR('Cost Margin'!$B$14="Y",'Cost Margin'!$J34=""),'Cost Margin'!$B$8,'Cost Margin'!$J34),N$5),MIN(IF(OR('Cost Margin'!$B$14="Y",'Cost Margin'!$K34=""),'Cost Margin'!$B$9,'Cost Margin'!$K34),N$6),INDEX(Settings!$A$35:$D$74,0,MATCH('Cost Margin'!$C34,Settings!$A$34:$D$34,0))),NETWORKDAYS(MAX(IF(OR('Cost Margin'!$B$14="Y",'Cost Margin'!$J34=""),'Cost Margin'!$B$8,'Cost Margin'!$J34),N$5),MIN(IF(OR('Cost Margin'!$B$14="Y",'Cost Margin'!$K34=""),'Cost Margin'!$B$9,'Cost Margin'!$K34),N$6)))))</f>
        <v>0</v>
      </c>
      <c r="O26" s="35" t="n">
        <f aca="false">IF(OR(O$5="",'Cost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Margin'!$K34),O$6)&lt;MAX(IF(OR('Cost Margin'!$B$14="Y",'Cost Margin'!$J34=""),'Cost Margin'!$B$8,'Cost Margin'!$J34),O$5),0,IFERROR(NETWORKDAYS(MAX(IF(OR('Cost Margin'!$B$14="Y",'Cost Margin'!$J34=""),'Cost Margin'!$B$8,'Cost Margin'!$J34),O$5),MIN(IF(OR('Cost Margin'!$B$14="Y",'Cost Margin'!$K34=""),'Cost Margin'!$B$9,'Cost Margin'!$K34),O$6),INDEX(Settings!$A$35:$D$74,0,MATCH('Cost Margin'!$C34,Settings!$A$34:$D$34,0))),NETWORKDAYS(MAX(IF(OR('Cost Margin'!$B$14="Y",'Cost Margin'!$J34=""),'Cost Margin'!$B$8,'Cost Margin'!$J34),O$5),MIN(IF(OR('Cost Margin'!$B$14="Y",'Cost Margin'!$K34=""),'Cost Margin'!$B$9,'Cost Margin'!$K34),O$6)))))</f>
        <v>0</v>
      </c>
      <c r="P26" s="35" t="n">
        <f aca="false">IF(OR(P$5="",'Cost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Margin'!$K34),P$6)&lt;MAX(IF(OR('Cost Margin'!$B$14="Y",'Cost Margin'!$J34=""),'Cost Margin'!$B$8,'Cost Margin'!$J34),P$5),0,IFERROR(NETWORKDAYS(MAX(IF(OR('Cost Margin'!$B$14="Y",'Cost Margin'!$J34=""),'Cost Margin'!$B$8,'Cost Margin'!$J34),P$5),MIN(IF(OR('Cost Margin'!$B$14="Y",'Cost Margin'!$K34=""),'Cost Margin'!$B$9,'Cost Margin'!$K34),P$6),INDEX(Settings!$A$35:$D$74,0,MATCH('Cost Margin'!$C34,Settings!$A$34:$D$34,0))),NETWORKDAYS(MAX(IF(OR('Cost Margin'!$B$14="Y",'Cost Margin'!$J34=""),'Cost Margin'!$B$8,'Cost Margin'!$J34),P$5),MIN(IF(OR('Cost Margin'!$B$14="Y",'Cost Margin'!$K34=""),'Cost Margin'!$B$9,'Cost Margin'!$K34),P$6)))))</f>
        <v>0</v>
      </c>
      <c r="Q26" s="35" t="n">
        <f aca="false">IF(OR(Q$5="",'Cost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Margin'!$K34),Q$6)&lt;MAX(IF(OR('Cost Margin'!$B$14="Y",'Cost Margin'!$J34=""),'Cost Margin'!$B$8,'Cost Margin'!$J34),Q$5),0,IFERROR(NETWORKDAYS(MAX(IF(OR('Cost Margin'!$B$14="Y",'Cost Margin'!$J34=""),'Cost Margin'!$B$8,'Cost Margin'!$J34),Q$5),MIN(IF(OR('Cost Margin'!$B$14="Y",'Cost Margin'!$K34=""),'Cost Margin'!$B$9,'Cost Margin'!$K34),Q$6),INDEX(Settings!$A$35:$D$74,0,MATCH('Cost Margin'!$C34,Settings!$A$34:$D$34,0))),NETWORKDAYS(MAX(IF(OR('Cost Margin'!$B$14="Y",'Cost Margin'!$J34=""),'Cost Margin'!$B$8,'Cost Margin'!$J34),Q$5),MIN(IF(OR('Cost Margin'!$B$14="Y",'Cost Margin'!$K34=""),'Cost Margin'!$B$9,'Cost Margin'!$K34),Q$6)))))</f>
        <v>0</v>
      </c>
      <c r="R26" s="35" t="n">
        <f aca="false">IF(OR(R$5="",'Cost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Margin'!$K34),R$6)&lt;MAX(IF(OR('Cost Margin'!$B$14="Y",'Cost Margin'!$J34=""),'Cost Margin'!$B$8,'Cost Margin'!$J34),R$5),0,IFERROR(NETWORKDAYS(MAX(IF(OR('Cost Margin'!$B$14="Y",'Cost Margin'!$J34=""),'Cost Margin'!$B$8,'Cost Margin'!$J34),R$5),MIN(IF(OR('Cost Margin'!$B$14="Y",'Cost Margin'!$K34=""),'Cost Margin'!$B$9,'Cost Margin'!$K34),R$6),INDEX(Settings!$A$35:$D$74,0,MATCH('Cost Margin'!$C34,Settings!$A$34:$D$34,0))),NETWORKDAYS(MAX(IF(OR('Cost Margin'!$B$14="Y",'Cost Margin'!$J34=""),'Cost Margin'!$B$8,'Cost Margin'!$J34),R$5),MIN(IF(OR('Cost Margin'!$B$14="Y",'Cost Margin'!$K34=""),'Cost Margin'!$B$9,'Cost Margin'!$K34),R$6)))))</f>
        <v>0</v>
      </c>
      <c r="S26" s="35" t="n">
        <f aca="false">IF(OR(S$5="",'Cost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Margin'!$K34),S$6)&lt;MAX(IF(OR('Cost Margin'!$B$14="Y",'Cost Margin'!$J34=""),'Cost Margin'!$B$8,'Cost Margin'!$J34),S$5),0,IFERROR(NETWORKDAYS(MAX(IF(OR('Cost Margin'!$B$14="Y",'Cost Margin'!$J34=""),'Cost Margin'!$B$8,'Cost Margin'!$J34),S$5),MIN(IF(OR('Cost Margin'!$B$14="Y",'Cost Margin'!$K34=""),'Cost Margin'!$B$9,'Cost Margin'!$K34),S$6),INDEX(Settings!$A$35:$D$74,0,MATCH('Cost Margin'!$C34,Settings!$A$34:$D$34,0))),NETWORKDAYS(MAX(IF(OR('Cost Margin'!$B$14="Y",'Cost Margin'!$J34=""),'Cost Margin'!$B$8,'Cost Margin'!$J34),S$5),MIN(IF(OR('Cost Margin'!$B$14="Y",'Cost Margin'!$K34=""),'Cost Margin'!$B$9,'Cost Margin'!$K34),S$6)))))</f>
        <v>0</v>
      </c>
      <c r="T26" s="35" t="n">
        <f aca="false">IF(OR(T$5="",'Cost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Margin'!$K34),T$6)&lt;MAX(IF(OR('Cost Margin'!$B$14="Y",'Cost Margin'!$J34=""),'Cost Margin'!$B$8,'Cost Margin'!$J34),T$5),0,IFERROR(NETWORKDAYS(MAX(IF(OR('Cost Margin'!$B$14="Y",'Cost Margin'!$J34=""),'Cost Margin'!$B$8,'Cost Margin'!$J34),T$5),MIN(IF(OR('Cost Margin'!$B$14="Y",'Cost Margin'!$K34=""),'Cost Margin'!$B$9,'Cost Margin'!$K34),T$6),INDEX(Settings!$A$35:$D$74,0,MATCH('Cost Margin'!$C34,Settings!$A$34:$D$34,0))),NETWORKDAYS(MAX(IF(OR('Cost Margin'!$B$14="Y",'Cost Margin'!$J34=""),'Cost Margin'!$B$8,'Cost Margin'!$J34),T$5),MIN(IF(OR('Cost Margin'!$B$14="Y",'Cost Margin'!$K34=""),'Cost Margin'!$B$9,'Cost Margin'!$K34),T$6)))))</f>
        <v>0</v>
      </c>
      <c r="U26" s="35" t="n">
        <f aca="false">IF(OR(U$5="",'Cost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Margin'!$K34),U$6)&lt;MAX(IF(OR('Cost Margin'!$B$14="Y",'Cost Margin'!$J34=""),'Cost Margin'!$B$8,'Cost Margin'!$J34),U$5),0,IFERROR(NETWORKDAYS(MAX(IF(OR('Cost Margin'!$B$14="Y",'Cost Margin'!$J34=""),'Cost Margin'!$B$8,'Cost Margin'!$J34),U$5),MIN(IF(OR('Cost Margin'!$B$14="Y",'Cost Margin'!$K34=""),'Cost Margin'!$B$9,'Cost Margin'!$K34),U$6),INDEX(Settings!$A$35:$D$74,0,MATCH('Cost Margin'!$C34,Settings!$A$34:$D$34,0))),NETWORKDAYS(MAX(IF(OR('Cost Margin'!$B$14="Y",'Cost Margin'!$J34=""),'Cost Margin'!$B$8,'Cost Margin'!$J34),U$5),MIN(IF(OR('Cost Margin'!$B$14="Y",'Cost Margin'!$K34=""),'Cost Margin'!$B$9,'Cost Margin'!$K34),U$6)))))</f>
        <v>0</v>
      </c>
      <c r="V26" s="35" t="n">
        <f aca="false">IF(OR(V$5="",'Cost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Margin'!$K34),V$6)&lt;MAX(IF(OR('Cost Margin'!$B$14="Y",'Cost Margin'!$J34=""),'Cost Margin'!$B$8,'Cost Margin'!$J34),V$5),0,IFERROR(NETWORKDAYS(MAX(IF(OR('Cost Margin'!$B$14="Y",'Cost Margin'!$J34=""),'Cost Margin'!$B$8,'Cost Margin'!$J34),V$5),MIN(IF(OR('Cost Margin'!$B$14="Y",'Cost Margin'!$K34=""),'Cost Margin'!$B$9,'Cost Margin'!$K34),V$6),INDEX(Settings!$A$35:$D$74,0,MATCH('Cost Margin'!$C34,Settings!$A$34:$D$34,0))),NETWORKDAYS(MAX(IF(OR('Cost Margin'!$B$14="Y",'Cost Margin'!$J34=""),'Cost Margin'!$B$8,'Cost Margin'!$J34),V$5),MIN(IF(OR('Cost Margin'!$B$14="Y",'Cost Margin'!$K34=""),'Cost Margin'!$B$9,'Cost Margin'!$K34),V$6)))))</f>
        <v>0</v>
      </c>
      <c r="W26" s="35" t="n">
        <f aca="false">IF(OR(W$5="",'Cost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Margin'!$K34),W$6)&lt;MAX(IF(OR('Cost Margin'!$B$14="Y",'Cost Margin'!$J34=""),'Cost Margin'!$B$8,'Cost Margin'!$J34),W$5),0,IFERROR(NETWORKDAYS(MAX(IF(OR('Cost Margin'!$B$14="Y",'Cost Margin'!$J34=""),'Cost Margin'!$B$8,'Cost Margin'!$J34),W$5),MIN(IF(OR('Cost Margin'!$B$14="Y",'Cost Margin'!$K34=""),'Cost Margin'!$B$9,'Cost Margin'!$K34),W$6),INDEX(Settings!$A$35:$D$74,0,MATCH('Cost Margin'!$C34,Settings!$A$34:$D$34,0))),NETWORKDAYS(MAX(IF(OR('Cost Margin'!$B$14="Y",'Cost Margin'!$J34=""),'Cost Margin'!$B$8,'Cost Margin'!$J34),W$5),MIN(IF(OR('Cost Margin'!$B$14="Y",'Cost Margin'!$K34=""),'Cost Margin'!$B$9,'Cost Margin'!$K34),W$6)))))</f>
        <v>0</v>
      </c>
      <c r="X26" s="35" t="n">
        <f aca="false">IF(OR(X$5="",'Cost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Margin'!$K34),X$6)&lt;MAX(IF(OR('Cost Margin'!$B$14="Y",'Cost Margin'!$J34=""),'Cost Margin'!$B$8,'Cost Margin'!$J34),X$5),0,IFERROR(NETWORKDAYS(MAX(IF(OR('Cost Margin'!$B$14="Y",'Cost Margin'!$J34=""),'Cost Margin'!$B$8,'Cost Margin'!$J34),X$5),MIN(IF(OR('Cost Margin'!$B$14="Y",'Cost Margin'!$K34=""),'Cost Margin'!$B$9,'Cost Margin'!$K34),X$6),INDEX(Settings!$A$35:$D$74,0,MATCH('Cost Margin'!$C34,Settings!$A$34:$D$34,0))),NETWORKDAYS(MAX(IF(OR('Cost Margin'!$B$14="Y",'Cost Margin'!$J34=""),'Cost Margin'!$B$8,'Cost Margin'!$J34),X$5),MIN(IF(OR('Cost Margin'!$B$14="Y",'Cost Margin'!$K34=""),'Cost Margin'!$B$9,'Cost Margin'!$K34),X$6)))))</f>
        <v>0</v>
      </c>
      <c r="Y26" s="35" t="n">
        <f aca="false">IF(OR(Y$5="",'Cost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Margin'!$K34),Y$6)&lt;MAX(IF(OR('Cost Margin'!$B$14="Y",'Cost Margin'!$J34=""),'Cost Margin'!$B$8,'Cost Margin'!$J34),Y$5),0,IFERROR(NETWORKDAYS(MAX(IF(OR('Cost Margin'!$B$14="Y",'Cost Margin'!$J34=""),'Cost Margin'!$B$8,'Cost Margin'!$J34),Y$5),MIN(IF(OR('Cost Margin'!$B$14="Y",'Cost Margin'!$K34=""),'Cost Margin'!$B$9,'Cost Margin'!$K34),Y$6),INDEX(Settings!$A$35:$D$74,0,MATCH('Cost Margin'!$C34,Settings!$A$34:$D$34,0))),NETWORKDAYS(MAX(IF(OR('Cost Margin'!$B$14="Y",'Cost Margin'!$J34=""),'Cost Margin'!$B$8,'Cost Margin'!$J34),Y$5),MIN(IF(OR('Cost Margin'!$B$14="Y",'Cost Margin'!$K34=""),'Cost Margin'!$B$9,'Cost Margin'!$K34),Y$6)))))</f>
        <v>0</v>
      </c>
      <c r="Z26" s="35" t="n">
        <f aca="false">IF(OR(Z$5="",'Cost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Margin'!$K34),Z$6)&lt;MAX(IF(OR('Cost Margin'!$B$14="Y",'Cost Margin'!$J34=""),'Cost Margin'!$B$8,'Cost Margin'!$J34),Z$5),0,IFERROR(NETWORKDAYS(MAX(IF(OR('Cost Margin'!$B$14="Y",'Cost Margin'!$J34=""),'Cost Margin'!$B$8,'Cost Margin'!$J34),Z$5),MIN(IF(OR('Cost Margin'!$B$14="Y",'Cost Margin'!$K34=""),'Cost Margin'!$B$9,'Cost Margin'!$K34),Z$6),INDEX(Settings!$A$35:$D$74,0,MATCH('Cost Margin'!$C34,Settings!$A$34:$D$34,0))),NETWORKDAYS(MAX(IF(OR('Cost Margin'!$B$14="Y",'Cost Margin'!$J34=""),'Cost Margin'!$B$8,'Cost Margin'!$J34),Z$5),MIN(IF(OR('Cost Margin'!$B$14="Y",'Cost Margin'!$K34=""),'Cost Margin'!$B$9,'Cost Margin'!$K34),Z$6)))))</f>
        <v>0</v>
      </c>
      <c r="AB26" s="34" t="str">
        <f aca="false">IF('Cost Margin'!A34="","",IF('Cost Margin'!E34="","(unassigned)",'Cost Margin'!E34))</f>
        <v/>
      </c>
    </row>
    <row r="27" customFormat="false" ht="15" hidden="false" customHeight="false" outlineLevel="0" collapsed="false">
      <c r="A27" s="0" t="n">
        <v>19</v>
      </c>
      <c r="B27" s="34" t="str">
        <f aca="false">IF('Cost Margin'!A35="","",'Cost Margin'!A35&amp;IF('Cost Margin'!E35="",""," · "&amp;'Cost Margin'!E35))</f>
        <v/>
      </c>
      <c r="C27" s="35" t="n">
        <f aca="false">IF(OR(C$5="",'Cost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Margin'!$K35),C$6)&lt;MAX(IF(OR('Cost Margin'!$B$14="Y",'Cost Margin'!$J35=""),'Cost Margin'!$B$8,'Cost Margin'!$J35),C$5),0,IFERROR(NETWORKDAYS(MAX(IF(OR('Cost Margin'!$B$14="Y",'Cost Margin'!$J35=""),'Cost Margin'!$B$8,'Cost Margin'!$J35),C$5),MIN(IF(OR('Cost Margin'!$B$14="Y",'Cost Margin'!$K35=""),'Cost Margin'!$B$9,'Cost Margin'!$K35),C$6),INDEX(Settings!$A$35:$D$74,0,MATCH('Cost Margin'!$C35,Settings!$A$34:$D$34,0))),NETWORKDAYS(MAX(IF(OR('Cost Margin'!$B$14="Y",'Cost Margin'!$J35=""),'Cost Margin'!$B$8,'Cost Margin'!$J35),C$5),MIN(IF(OR('Cost Margin'!$B$14="Y",'Cost Margin'!$K35=""),'Cost Margin'!$B$9,'Cost Margin'!$K35),C$6)))))</f>
        <v>0</v>
      </c>
      <c r="D27" s="35" t="n">
        <f aca="false">IF(OR(D$5="",'Cost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Margin'!$K35),D$6)&lt;MAX(IF(OR('Cost Margin'!$B$14="Y",'Cost Margin'!$J35=""),'Cost Margin'!$B$8,'Cost Margin'!$J35),D$5),0,IFERROR(NETWORKDAYS(MAX(IF(OR('Cost Margin'!$B$14="Y",'Cost Margin'!$J35=""),'Cost Margin'!$B$8,'Cost Margin'!$J35),D$5),MIN(IF(OR('Cost Margin'!$B$14="Y",'Cost Margin'!$K35=""),'Cost Margin'!$B$9,'Cost Margin'!$K35),D$6),INDEX(Settings!$A$35:$D$74,0,MATCH('Cost Margin'!$C35,Settings!$A$34:$D$34,0))),NETWORKDAYS(MAX(IF(OR('Cost Margin'!$B$14="Y",'Cost Margin'!$J35=""),'Cost Margin'!$B$8,'Cost Margin'!$J35),D$5),MIN(IF(OR('Cost Margin'!$B$14="Y",'Cost Margin'!$K35=""),'Cost Margin'!$B$9,'Cost Margin'!$K35),D$6)))))</f>
        <v>0</v>
      </c>
      <c r="E27" s="35" t="n">
        <f aca="false">IF(OR(E$5="",'Cost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Margin'!$K35),E$6)&lt;MAX(IF(OR('Cost Margin'!$B$14="Y",'Cost Margin'!$J35=""),'Cost Margin'!$B$8,'Cost Margin'!$J35),E$5),0,IFERROR(NETWORKDAYS(MAX(IF(OR('Cost Margin'!$B$14="Y",'Cost Margin'!$J35=""),'Cost Margin'!$B$8,'Cost Margin'!$J35),E$5),MIN(IF(OR('Cost Margin'!$B$14="Y",'Cost Margin'!$K35=""),'Cost Margin'!$B$9,'Cost Margin'!$K35),E$6),INDEX(Settings!$A$35:$D$74,0,MATCH('Cost Margin'!$C35,Settings!$A$34:$D$34,0))),NETWORKDAYS(MAX(IF(OR('Cost Margin'!$B$14="Y",'Cost Margin'!$J35=""),'Cost Margin'!$B$8,'Cost Margin'!$J35),E$5),MIN(IF(OR('Cost Margin'!$B$14="Y",'Cost Margin'!$K35=""),'Cost Margin'!$B$9,'Cost Margin'!$K35),E$6)))))</f>
        <v>0</v>
      </c>
      <c r="F27" s="35" t="n">
        <f aca="false">IF(OR(F$5="",'Cost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Margin'!$K35),F$6)&lt;MAX(IF(OR('Cost Margin'!$B$14="Y",'Cost Margin'!$J35=""),'Cost Margin'!$B$8,'Cost Margin'!$J35),F$5),0,IFERROR(NETWORKDAYS(MAX(IF(OR('Cost Margin'!$B$14="Y",'Cost Margin'!$J35=""),'Cost Margin'!$B$8,'Cost Margin'!$J35),F$5),MIN(IF(OR('Cost Margin'!$B$14="Y",'Cost Margin'!$K35=""),'Cost Margin'!$B$9,'Cost Margin'!$K35),F$6),INDEX(Settings!$A$35:$D$74,0,MATCH('Cost Margin'!$C35,Settings!$A$34:$D$34,0))),NETWORKDAYS(MAX(IF(OR('Cost Margin'!$B$14="Y",'Cost Margin'!$J35=""),'Cost Margin'!$B$8,'Cost Margin'!$J35),F$5),MIN(IF(OR('Cost Margin'!$B$14="Y",'Cost Margin'!$K35=""),'Cost Margin'!$B$9,'Cost Margin'!$K35),F$6)))))</f>
        <v>0</v>
      </c>
      <c r="G27" s="35" t="n">
        <f aca="false">IF(OR(G$5="",'Cost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Margin'!$K35),G$6)&lt;MAX(IF(OR('Cost Margin'!$B$14="Y",'Cost Margin'!$J35=""),'Cost Margin'!$B$8,'Cost Margin'!$J35),G$5),0,IFERROR(NETWORKDAYS(MAX(IF(OR('Cost Margin'!$B$14="Y",'Cost Margin'!$J35=""),'Cost Margin'!$B$8,'Cost Margin'!$J35),G$5),MIN(IF(OR('Cost Margin'!$B$14="Y",'Cost Margin'!$K35=""),'Cost Margin'!$B$9,'Cost Margin'!$K35),G$6),INDEX(Settings!$A$35:$D$74,0,MATCH('Cost Margin'!$C35,Settings!$A$34:$D$34,0))),NETWORKDAYS(MAX(IF(OR('Cost Margin'!$B$14="Y",'Cost Margin'!$J35=""),'Cost Margin'!$B$8,'Cost Margin'!$J35),G$5),MIN(IF(OR('Cost Margin'!$B$14="Y",'Cost Margin'!$K35=""),'Cost Margin'!$B$9,'Cost Margin'!$K35),G$6)))))</f>
        <v>0</v>
      </c>
      <c r="H27" s="35" t="n">
        <f aca="false">IF(OR(H$5="",'Cost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Margin'!$K35),H$6)&lt;MAX(IF(OR('Cost Margin'!$B$14="Y",'Cost Margin'!$J35=""),'Cost Margin'!$B$8,'Cost Margin'!$J35),H$5),0,IFERROR(NETWORKDAYS(MAX(IF(OR('Cost Margin'!$B$14="Y",'Cost Margin'!$J35=""),'Cost Margin'!$B$8,'Cost Margin'!$J35),H$5),MIN(IF(OR('Cost Margin'!$B$14="Y",'Cost Margin'!$K35=""),'Cost Margin'!$B$9,'Cost Margin'!$K35),H$6),INDEX(Settings!$A$35:$D$74,0,MATCH('Cost Margin'!$C35,Settings!$A$34:$D$34,0))),NETWORKDAYS(MAX(IF(OR('Cost Margin'!$B$14="Y",'Cost Margin'!$J35=""),'Cost Margin'!$B$8,'Cost Margin'!$J35),H$5),MIN(IF(OR('Cost Margin'!$B$14="Y",'Cost Margin'!$K35=""),'Cost Margin'!$B$9,'Cost Margin'!$K35),H$6)))))</f>
        <v>0</v>
      </c>
      <c r="I27" s="35" t="n">
        <f aca="false">IF(OR(I$5="",'Cost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Margin'!$K35),I$6)&lt;MAX(IF(OR('Cost Margin'!$B$14="Y",'Cost Margin'!$J35=""),'Cost Margin'!$B$8,'Cost Margin'!$J35),I$5),0,IFERROR(NETWORKDAYS(MAX(IF(OR('Cost Margin'!$B$14="Y",'Cost Margin'!$J35=""),'Cost Margin'!$B$8,'Cost Margin'!$J35),I$5),MIN(IF(OR('Cost Margin'!$B$14="Y",'Cost Margin'!$K35=""),'Cost Margin'!$B$9,'Cost Margin'!$K35),I$6),INDEX(Settings!$A$35:$D$74,0,MATCH('Cost Margin'!$C35,Settings!$A$34:$D$34,0))),NETWORKDAYS(MAX(IF(OR('Cost Margin'!$B$14="Y",'Cost Margin'!$J35=""),'Cost Margin'!$B$8,'Cost Margin'!$J35),I$5),MIN(IF(OR('Cost Margin'!$B$14="Y",'Cost Margin'!$K35=""),'Cost Margin'!$B$9,'Cost Margin'!$K35),I$6)))))</f>
        <v>0</v>
      </c>
      <c r="J27" s="35" t="n">
        <f aca="false">IF(OR(J$5="",'Cost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Margin'!$K35),J$6)&lt;MAX(IF(OR('Cost Margin'!$B$14="Y",'Cost Margin'!$J35=""),'Cost Margin'!$B$8,'Cost Margin'!$J35),J$5),0,IFERROR(NETWORKDAYS(MAX(IF(OR('Cost Margin'!$B$14="Y",'Cost Margin'!$J35=""),'Cost Margin'!$B$8,'Cost Margin'!$J35),J$5),MIN(IF(OR('Cost Margin'!$B$14="Y",'Cost Margin'!$K35=""),'Cost Margin'!$B$9,'Cost Margin'!$K35),J$6),INDEX(Settings!$A$35:$D$74,0,MATCH('Cost Margin'!$C35,Settings!$A$34:$D$34,0))),NETWORKDAYS(MAX(IF(OR('Cost Margin'!$B$14="Y",'Cost Margin'!$J35=""),'Cost Margin'!$B$8,'Cost Margin'!$J35),J$5),MIN(IF(OR('Cost Margin'!$B$14="Y",'Cost Margin'!$K35=""),'Cost Margin'!$B$9,'Cost Margin'!$K35),J$6)))))</f>
        <v>0</v>
      </c>
      <c r="K27" s="35" t="n">
        <f aca="false">IF(OR(K$5="",'Cost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Margin'!$K35),K$6)&lt;MAX(IF(OR('Cost Margin'!$B$14="Y",'Cost Margin'!$J35=""),'Cost Margin'!$B$8,'Cost Margin'!$J35),K$5),0,IFERROR(NETWORKDAYS(MAX(IF(OR('Cost Margin'!$B$14="Y",'Cost Margin'!$J35=""),'Cost Margin'!$B$8,'Cost Margin'!$J35),K$5),MIN(IF(OR('Cost Margin'!$B$14="Y",'Cost Margin'!$K35=""),'Cost Margin'!$B$9,'Cost Margin'!$K35),K$6),INDEX(Settings!$A$35:$D$74,0,MATCH('Cost Margin'!$C35,Settings!$A$34:$D$34,0))),NETWORKDAYS(MAX(IF(OR('Cost Margin'!$B$14="Y",'Cost Margin'!$J35=""),'Cost Margin'!$B$8,'Cost Margin'!$J35),K$5),MIN(IF(OR('Cost Margin'!$B$14="Y",'Cost Margin'!$K35=""),'Cost Margin'!$B$9,'Cost Margin'!$K35),K$6)))))</f>
        <v>0</v>
      </c>
      <c r="L27" s="35" t="n">
        <f aca="false">IF(OR(L$5="",'Cost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Margin'!$K35),L$6)&lt;MAX(IF(OR('Cost Margin'!$B$14="Y",'Cost Margin'!$J35=""),'Cost Margin'!$B$8,'Cost Margin'!$J35),L$5),0,IFERROR(NETWORKDAYS(MAX(IF(OR('Cost Margin'!$B$14="Y",'Cost Margin'!$J35=""),'Cost Margin'!$B$8,'Cost Margin'!$J35),L$5),MIN(IF(OR('Cost Margin'!$B$14="Y",'Cost Margin'!$K35=""),'Cost Margin'!$B$9,'Cost Margin'!$K35),L$6),INDEX(Settings!$A$35:$D$74,0,MATCH('Cost Margin'!$C35,Settings!$A$34:$D$34,0))),NETWORKDAYS(MAX(IF(OR('Cost Margin'!$B$14="Y",'Cost Margin'!$J35=""),'Cost Margin'!$B$8,'Cost Margin'!$J35),L$5),MIN(IF(OR('Cost Margin'!$B$14="Y",'Cost Margin'!$K35=""),'Cost Margin'!$B$9,'Cost Margin'!$K35),L$6)))))</f>
        <v>0</v>
      </c>
      <c r="M27" s="35" t="n">
        <f aca="false">IF(OR(M$5="",'Cost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Margin'!$K35),M$6)&lt;MAX(IF(OR('Cost Margin'!$B$14="Y",'Cost Margin'!$J35=""),'Cost Margin'!$B$8,'Cost Margin'!$J35),M$5),0,IFERROR(NETWORKDAYS(MAX(IF(OR('Cost Margin'!$B$14="Y",'Cost Margin'!$J35=""),'Cost Margin'!$B$8,'Cost Margin'!$J35),M$5),MIN(IF(OR('Cost Margin'!$B$14="Y",'Cost Margin'!$K35=""),'Cost Margin'!$B$9,'Cost Margin'!$K35),M$6),INDEX(Settings!$A$35:$D$74,0,MATCH('Cost Margin'!$C35,Settings!$A$34:$D$34,0))),NETWORKDAYS(MAX(IF(OR('Cost Margin'!$B$14="Y",'Cost Margin'!$J35=""),'Cost Margin'!$B$8,'Cost Margin'!$J35),M$5),MIN(IF(OR('Cost Margin'!$B$14="Y",'Cost Margin'!$K35=""),'Cost Margin'!$B$9,'Cost Margin'!$K35),M$6)))))</f>
        <v>0</v>
      </c>
      <c r="N27" s="35" t="n">
        <f aca="false">IF(OR(N$5="",'Cost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Margin'!$K35),N$6)&lt;MAX(IF(OR('Cost Margin'!$B$14="Y",'Cost Margin'!$J35=""),'Cost Margin'!$B$8,'Cost Margin'!$J35),N$5),0,IFERROR(NETWORKDAYS(MAX(IF(OR('Cost Margin'!$B$14="Y",'Cost Margin'!$J35=""),'Cost Margin'!$B$8,'Cost Margin'!$J35),N$5),MIN(IF(OR('Cost Margin'!$B$14="Y",'Cost Margin'!$K35=""),'Cost Margin'!$B$9,'Cost Margin'!$K35),N$6),INDEX(Settings!$A$35:$D$74,0,MATCH('Cost Margin'!$C35,Settings!$A$34:$D$34,0))),NETWORKDAYS(MAX(IF(OR('Cost Margin'!$B$14="Y",'Cost Margin'!$J35=""),'Cost Margin'!$B$8,'Cost Margin'!$J35),N$5),MIN(IF(OR('Cost Margin'!$B$14="Y",'Cost Margin'!$K35=""),'Cost Margin'!$B$9,'Cost Margin'!$K35),N$6)))))</f>
        <v>0</v>
      </c>
      <c r="O27" s="35" t="n">
        <f aca="false">IF(OR(O$5="",'Cost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Margin'!$K35),O$6)&lt;MAX(IF(OR('Cost Margin'!$B$14="Y",'Cost Margin'!$J35=""),'Cost Margin'!$B$8,'Cost Margin'!$J35),O$5),0,IFERROR(NETWORKDAYS(MAX(IF(OR('Cost Margin'!$B$14="Y",'Cost Margin'!$J35=""),'Cost Margin'!$B$8,'Cost Margin'!$J35),O$5),MIN(IF(OR('Cost Margin'!$B$14="Y",'Cost Margin'!$K35=""),'Cost Margin'!$B$9,'Cost Margin'!$K35),O$6),INDEX(Settings!$A$35:$D$74,0,MATCH('Cost Margin'!$C35,Settings!$A$34:$D$34,0))),NETWORKDAYS(MAX(IF(OR('Cost Margin'!$B$14="Y",'Cost Margin'!$J35=""),'Cost Margin'!$B$8,'Cost Margin'!$J35),O$5),MIN(IF(OR('Cost Margin'!$B$14="Y",'Cost Margin'!$K35=""),'Cost Margin'!$B$9,'Cost Margin'!$K35),O$6)))))</f>
        <v>0</v>
      </c>
      <c r="P27" s="35" t="n">
        <f aca="false">IF(OR(P$5="",'Cost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Margin'!$K35),P$6)&lt;MAX(IF(OR('Cost Margin'!$B$14="Y",'Cost Margin'!$J35=""),'Cost Margin'!$B$8,'Cost Margin'!$J35),P$5),0,IFERROR(NETWORKDAYS(MAX(IF(OR('Cost Margin'!$B$14="Y",'Cost Margin'!$J35=""),'Cost Margin'!$B$8,'Cost Margin'!$J35),P$5),MIN(IF(OR('Cost Margin'!$B$14="Y",'Cost Margin'!$K35=""),'Cost Margin'!$B$9,'Cost Margin'!$K35),P$6),INDEX(Settings!$A$35:$D$74,0,MATCH('Cost Margin'!$C35,Settings!$A$34:$D$34,0))),NETWORKDAYS(MAX(IF(OR('Cost Margin'!$B$14="Y",'Cost Margin'!$J35=""),'Cost Margin'!$B$8,'Cost Margin'!$J35),P$5),MIN(IF(OR('Cost Margin'!$B$14="Y",'Cost Margin'!$K35=""),'Cost Margin'!$B$9,'Cost Margin'!$K35),P$6)))))</f>
        <v>0</v>
      </c>
      <c r="Q27" s="35" t="n">
        <f aca="false">IF(OR(Q$5="",'Cost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Margin'!$K35),Q$6)&lt;MAX(IF(OR('Cost Margin'!$B$14="Y",'Cost Margin'!$J35=""),'Cost Margin'!$B$8,'Cost Margin'!$J35),Q$5),0,IFERROR(NETWORKDAYS(MAX(IF(OR('Cost Margin'!$B$14="Y",'Cost Margin'!$J35=""),'Cost Margin'!$B$8,'Cost Margin'!$J35),Q$5),MIN(IF(OR('Cost Margin'!$B$14="Y",'Cost Margin'!$K35=""),'Cost Margin'!$B$9,'Cost Margin'!$K35),Q$6),INDEX(Settings!$A$35:$D$74,0,MATCH('Cost Margin'!$C35,Settings!$A$34:$D$34,0))),NETWORKDAYS(MAX(IF(OR('Cost Margin'!$B$14="Y",'Cost Margin'!$J35=""),'Cost Margin'!$B$8,'Cost Margin'!$J35),Q$5),MIN(IF(OR('Cost Margin'!$B$14="Y",'Cost Margin'!$K35=""),'Cost Margin'!$B$9,'Cost Margin'!$K35),Q$6)))))</f>
        <v>0</v>
      </c>
      <c r="R27" s="35" t="n">
        <f aca="false">IF(OR(R$5="",'Cost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Margin'!$K35),R$6)&lt;MAX(IF(OR('Cost Margin'!$B$14="Y",'Cost Margin'!$J35=""),'Cost Margin'!$B$8,'Cost Margin'!$J35),R$5),0,IFERROR(NETWORKDAYS(MAX(IF(OR('Cost Margin'!$B$14="Y",'Cost Margin'!$J35=""),'Cost Margin'!$B$8,'Cost Margin'!$J35),R$5),MIN(IF(OR('Cost Margin'!$B$14="Y",'Cost Margin'!$K35=""),'Cost Margin'!$B$9,'Cost Margin'!$K35),R$6),INDEX(Settings!$A$35:$D$74,0,MATCH('Cost Margin'!$C35,Settings!$A$34:$D$34,0))),NETWORKDAYS(MAX(IF(OR('Cost Margin'!$B$14="Y",'Cost Margin'!$J35=""),'Cost Margin'!$B$8,'Cost Margin'!$J35),R$5),MIN(IF(OR('Cost Margin'!$B$14="Y",'Cost Margin'!$K35=""),'Cost Margin'!$B$9,'Cost Margin'!$K35),R$6)))))</f>
        <v>0</v>
      </c>
      <c r="S27" s="35" t="n">
        <f aca="false">IF(OR(S$5="",'Cost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Margin'!$K35),S$6)&lt;MAX(IF(OR('Cost Margin'!$B$14="Y",'Cost Margin'!$J35=""),'Cost Margin'!$B$8,'Cost Margin'!$J35),S$5),0,IFERROR(NETWORKDAYS(MAX(IF(OR('Cost Margin'!$B$14="Y",'Cost Margin'!$J35=""),'Cost Margin'!$B$8,'Cost Margin'!$J35),S$5),MIN(IF(OR('Cost Margin'!$B$14="Y",'Cost Margin'!$K35=""),'Cost Margin'!$B$9,'Cost Margin'!$K35),S$6),INDEX(Settings!$A$35:$D$74,0,MATCH('Cost Margin'!$C35,Settings!$A$34:$D$34,0))),NETWORKDAYS(MAX(IF(OR('Cost Margin'!$B$14="Y",'Cost Margin'!$J35=""),'Cost Margin'!$B$8,'Cost Margin'!$J35),S$5),MIN(IF(OR('Cost Margin'!$B$14="Y",'Cost Margin'!$K35=""),'Cost Margin'!$B$9,'Cost Margin'!$K35),S$6)))))</f>
        <v>0</v>
      </c>
      <c r="T27" s="35" t="n">
        <f aca="false">IF(OR(T$5="",'Cost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Margin'!$K35),T$6)&lt;MAX(IF(OR('Cost Margin'!$B$14="Y",'Cost Margin'!$J35=""),'Cost Margin'!$B$8,'Cost Margin'!$J35),T$5),0,IFERROR(NETWORKDAYS(MAX(IF(OR('Cost Margin'!$B$14="Y",'Cost Margin'!$J35=""),'Cost Margin'!$B$8,'Cost Margin'!$J35),T$5),MIN(IF(OR('Cost Margin'!$B$14="Y",'Cost Margin'!$K35=""),'Cost Margin'!$B$9,'Cost Margin'!$K35),T$6),INDEX(Settings!$A$35:$D$74,0,MATCH('Cost Margin'!$C35,Settings!$A$34:$D$34,0))),NETWORKDAYS(MAX(IF(OR('Cost Margin'!$B$14="Y",'Cost Margin'!$J35=""),'Cost Margin'!$B$8,'Cost Margin'!$J35),T$5),MIN(IF(OR('Cost Margin'!$B$14="Y",'Cost Margin'!$K35=""),'Cost Margin'!$B$9,'Cost Margin'!$K35),T$6)))))</f>
        <v>0</v>
      </c>
      <c r="U27" s="35" t="n">
        <f aca="false">IF(OR(U$5="",'Cost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Margin'!$K35),U$6)&lt;MAX(IF(OR('Cost Margin'!$B$14="Y",'Cost Margin'!$J35=""),'Cost Margin'!$B$8,'Cost Margin'!$J35),U$5),0,IFERROR(NETWORKDAYS(MAX(IF(OR('Cost Margin'!$B$14="Y",'Cost Margin'!$J35=""),'Cost Margin'!$B$8,'Cost Margin'!$J35),U$5),MIN(IF(OR('Cost Margin'!$B$14="Y",'Cost Margin'!$K35=""),'Cost Margin'!$B$9,'Cost Margin'!$K35),U$6),INDEX(Settings!$A$35:$D$74,0,MATCH('Cost Margin'!$C35,Settings!$A$34:$D$34,0))),NETWORKDAYS(MAX(IF(OR('Cost Margin'!$B$14="Y",'Cost Margin'!$J35=""),'Cost Margin'!$B$8,'Cost Margin'!$J35),U$5),MIN(IF(OR('Cost Margin'!$B$14="Y",'Cost Margin'!$K35=""),'Cost Margin'!$B$9,'Cost Margin'!$K35),U$6)))))</f>
        <v>0</v>
      </c>
      <c r="V27" s="35" t="n">
        <f aca="false">IF(OR(V$5="",'Cost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Margin'!$K35),V$6)&lt;MAX(IF(OR('Cost Margin'!$B$14="Y",'Cost Margin'!$J35=""),'Cost Margin'!$B$8,'Cost Margin'!$J35),V$5),0,IFERROR(NETWORKDAYS(MAX(IF(OR('Cost Margin'!$B$14="Y",'Cost Margin'!$J35=""),'Cost Margin'!$B$8,'Cost Margin'!$J35),V$5),MIN(IF(OR('Cost Margin'!$B$14="Y",'Cost Margin'!$K35=""),'Cost Margin'!$B$9,'Cost Margin'!$K35),V$6),INDEX(Settings!$A$35:$D$74,0,MATCH('Cost Margin'!$C35,Settings!$A$34:$D$34,0))),NETWORKDAYS(MAX(IF(OR('Cost Margin'!$B$14="Y",'Cost Margin'!$J35=""),'Cost Margin'!$B$8,'Cost Margin'!$J35),V$5),MIN(IF(OR('Cost Margin'!$B$14="Y",'Cost Margin'!$K35=""),'Cost Margin'!$B$9,'Cost Margin'!$K35),V$6)))))</f>
        <v>0</v>
      </c>
      <c r="W27" s="35" t="n">
        <f aca="false">IF(OR(W$5="",'Cost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Margin'!$K35),W$6)&lt;MAX(IF(OR('Cost Margin'!$B$14="Y",'Cost Margin'!$J35=""),'Cost Margin'!$B$8,'Cost Margin'!$J35),W$5),0,IFERROR(NETWORKDAYS(MAX(IF(OR('Cost Margin'!$B$14="Y",'Cost Margin'!$J35=""),'Cost Margin'!$B$8,'Cost Margin'!$J35),W$5),MIN(IF(OR('Cost Margin'!$B$14="Y",'Cost Margin'!$K35=""),'Cost Margin'!$B$9,'Cost Margin'!$K35),W$6),INDEX(Settings!$A$35:$D$74,0,MATCH('Cost Margin'!$C35,Settings!$A$34:$D$34,0))),NETWORKDAYS(MAX(IF(OR('Cost Margin'!$B$14="Y",'Cost Margin'!$J35=""),'Cost Margin'!$B$8,'Cost Margin'!$J35),W$5),MIN(IF(OR('Cost Margin'!$B$14="Y",'Cost Margin'!$K35=""),'Cost Margin'!$B$9,'Cost Margin'!$K35),W$6)))))</f>
        <v>0</v>
      </c>
      <c r="X27" s="35" t="n">
        <f aca="false">IF(OR(X$5="",'Cost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Margin'!$K35),X$6)&lt;MAX(IF(OR('Cost Margin'!$B$14="Y",'Cost Margin'!$J35=""),'Cost Margin'!$B$8,'Cost Margin'!$J35),X$5),0,IFERROR(NETWORKDAYS(MAX(IF(OR('Cost Margin'!$B$14="Y",'Cost Margin'!$J35=""),'Cost Margin'!$B$8,'Cost Margin'!$J35),X$5),MIN(IF(OR('Cost Margin'!$B$14="Y",'Cost Margin'!$K35=""),'Cost Margin'!$B$9,'Cost Margin'!$K35),X$6),INDEX(Settings!$A$35:$D$74,0,MATCH('Cost Margin'!$C35,Settings!$A$34:$D$34,0))),NETWORKDAYS(MAX(IF(OR('Cost Margin'!$B$14="Y",'Cost Margin'!$J35=""),'Cost Margin'!$B$8,'Cost Margin'!$J35),X$5),MIN(IF(OR('Cost Margin'!$B$14="Y",'Cost Margin'!$K35=""),'Cost Margin'!$B$9,'Cost Margin'!$K35),X$6)))))</f>
        <v>0</v>
      </c>
      <c r="Y27" s="35" t="n">
        <f aca="false">IF(OR(Y$5="",'Cost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Margin'!$K35),Y$6)&lt;MAX(IF(OR('Cost Margin'!$B$14="Y",'Cost Margin'!$J35=""),'Cost Margin'!$B$8,'Cost Margin'!$J35),Y$5),0,IFERROR(NETWORKDAYS(MAX(IF(OR('Cost Margin'!$B$14="Y",'Cost Margin'!$J35=""),'Cost Margin'!$B$8,'Cost Margin'!$J35),Y$5),MIN(IF(OR('Cost Margin'!$B$14="Y",'Cost Margin'!$K35=""),'Cost Margin'!$B$9,'Cost Margin'!$K35),Y$6),INDEX(Settings!$A$35:$D$74,0,MATCH('Cost Margin'!$C35,Settings!$A$34:$D$34,0))),NETWORKDAYS(MAX(IF(OR('Cost Margin'!$B$14="Y",'Cost Margin'!$J35=""),'Cost Margin'!$B$8,'Cost Margin'!$J35),Y$5),MIN(IF(OR('Cost Margin'!$B$14="Y",'Cost Margin'!$K35=""),'Cost Margin'!$B$9,'Cost Margin'!$K35),Y$6)))))</f>
        <v>0</v>
      </c>
      <c r="Z27" s="35" t="n">
        <f aca="false">IF(OR(Z$5="",'Cost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Margin'!$K35),Z$6)&lt;MAX(IF(OR('Cost Margin'!$B$14="Y",'Cost Margin'!$J35=""),'Cost Margin'!$B$8,'Cost Margin'!$J35),Z$5),0,IFERROR(NETWORKDAYS(MAX(IF(OR('Cost Margin'!$B$14="Y",'Cost Margin'!$J35=""),'Cost Margin'!$B$8,'Cost Margin'!$J35),Z$5),MIN(IF(OR('Cost Margin'!$B$14="Y",'Cost Margin'!$K35=""),'Cost Margin'!$B$9,'Cost Margin'!$K35),Z$6),INDEX(Settings!$A$35:$D$74,0,MATCH('Cost Margin'!$C35,Settings!$A$34:$D$34,0))),NETWORKDAYS(MAX(IF(OR('Cost Margin'!$B$14="Y",'Cost Margin'!$J35=""),'Cost Margin'!$B$8,'Cost Margin'!$J35),Z$5),MIN(IF(OR('Cost Margin'!$B$14="Y",'Cost Margin'!$K35=""),'Cost Margin'!$B$9,'Cost Margin'!$K35),Z$6)))))</f>
        <v>0</v>
      </c>
      <c r="AB27" s="34" t="str">
        <f aca="false">IF('Cost Margin'!A35="","",IF('Cost Margin'!E35="","(unassigned)",'Cost Margin'!E35))</f>
        <v/>
      </c>
    </row>
    <row r="28" customFormat="false" ht="15" hidden="false" customHeight="false" outlineLevel="0" collapsed="false">
      <c r="A28" s="0" t="n">
        <v>20</v>
      </c>
      <c r="B28" s="34" t="str">
        <f aca="false">IF('Cost Margin'!A36="","",'Cost Margin'!A36&amp;IF('Cost Margin'!E36="",""," · "&amp;'Cost Margin'!E36))</f>
        <v/>
      </c>
      <c r="C28" s="35" t="n">
        <f aca="false">IF(OR(C$5="",'Cost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Margin'!$K36),C$6)&lt;MAX(IF(OR('Cost Margin'!$B$14="Y",'Cost Margin'!$J36=""),'Cost Margin'!$B$8,'Cost Margin'!$J36),C$5),0,IFERROR(NETWORKDAYS(MAX(IF(OR('Cost Margin'!$B$14="Y",'Cost Margin'!$J36=""),'Cost Margin'!$B$8,'Cost Margin'!$J36),C$5),MIN(IF(OR('Cost Margin'!$B$14="Y",'Cost Margin'!$K36=""),'Cost Margin'!$B$9,'Cost Margin'!$K36),C$6),INDEX(Settings!$A$35:$D$74,0,MATCH('Cost Margin'!$C36,Settings!$A$34:$D$34,0))),NETWORKDAYS(MAX(IF(OR('Cost Margin'!$B$14="Y",'Cost Margin'!$J36=""),'Cost Margin'!$B$8,'Cost Margin'!$J36),C$5),MIN(IF(OR('Cost Margin'!$B$14="Y",'Cost Margin'!$K36=""),'Cost Margin'!$B$9,'Cost Margin'!$K36),C$6)))))</f>
        <v>0</v>
      </c>
      <c r="D28" s="35" t="n">
        <f aca="false">IF(OR(D$5="",'Cost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Margin'!$K36),D$6)&lt;MAX(IF(OR('Cost Margin'!$B$14="Y",'Cost Margin'!$J36=""),'Cost Margin'!$B$8,'Cost Margin'!$J36),D$5),0,IFERROR(NETWORKDAYS(MAX(IF(OR('Cost Margin'!$B$14="Y",'Cost Margin'!$J36=""),'Cost Margin'!$B$8,'Cost Margin'!$J36),D$5),MIN(IF(OR('Cost Margin'!$B$14="Y",'Cost Margin'!$K36=""),'Cost Margin'!$B$9,'Cost Margin'!$K36),D$6),INDEX(Settings!$A$35:$D$74,0,MATCH('Cost Margin'!$C36,Settings!$A$34:$D$34,0))),NETWORKDAYS(MAX(IF(OR('Cost Margin'!$B$14="Y",'Cost Margin'!$J36=""),'Cost Margin'!$B$8,'Cost Margin'!$J36),D$5),MIN(IF(OR('Cost Margin'!$B$14="Y",'Cost Margin'!$K36=""),'Cost Margin'!$B$9,'Cost Margin'!$K36),D$6)))))</f>
        <v>0</v>
      </c>
      <c r="E28" s="35" t="n">
        <f aca="false">IF(OR(E$5="",'Cost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Margin'!$K36),E$6)&lt;MAX(IF(OR('Cost Margin'!$B$14="Y",'Cost Margin'!$J36=""),'Cost Margin'!$B$8,'Cost Margin'!$J36),E$5),0,IFERROR(NETWORKDAYS(MAX(IF(OR('Cost Margin'!$B$14="Y",'Cost Margin'!$J36=""),'Cost Margin'!$B$8,'Cost Margin'!$J36),E$5),MIN(IF(OR('Cost Margin'!$B$14="Y",'Cost Margin'!$K36=""),'Cost Margin'!$B$9,'Cost Margin'!$K36),E$6),INDEX(Settings!$A$35:$D$74,0,MATCH('Cost Margin'!$C36,Settings!$A$34:$D$34,0))),NETWORKDAYS(MAX(IF(OR('Cost Margin'!$B$14="Y",'Cost Margin'!$J36=""),'Cost Margin'!$B$8,'Cost Margin'!$J36),E$5),MIN(IF(OR('Cost Margin'!$B$14="Y",'Cost Margin'!$K36=""),'Cost Margin'!$B$9,'Cost Margin'!$K36),E$6)))))</f>
        <v>0</v>
      </c>
      <c r="F28" s="35" t="n">
        <f aca="false">IF(OR(F$5="",'Cost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Margin'!$K36),F$6)&lt;MAX(IF(OR('Cost Margin'!$B$14="Y",'Cost Margin'!$J36=""),'Cost Margin'!$B$8,'Cost Margin'!$J36),F$5),0,IFERROR(NETWORKDAYS(MAX(IF(OR('Cost Margin'!$B$14="Y",'Cost Margin'!$J36=""),'Cost Margin'!$B$8,'Cost Margin'!$J36),F$5),MIN(IF(OR('Cost Margin'!$B$14="Y",'Cost Margin'!$K36=""),'Cost Margin'!$B$9,'Cost Margin'!$K36),F$6),INDEX(Settings!$A$35:$D$74,0,MATCH('Cost Margin'!$C36,Settings!$A$34:$D$34,0))),NETWORKDAYS(MAX(IF(OR('Cost Margin'!$B$14="Y",'Cost Margin'!$J36=""),'Cost Margin'!$B$8,'Cost Margin'!$J36),F$5),MIN(IF(OR('Cost Margin'!$B$14="Y",'Cost Margin'!$K36=""),'Cost Margin'!$B$9,'Cost Margin'!$K36),F$6)))))</f>
        <v>0</v>
      </c>
      <c r="G28" s="35" t="n">
        <f aca="false">IF(OR(G$5="",'Cost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Margin'!$K36),G$6)&lt;MAX(IF(OR('Cost Margin'!$B$14="Y",'Cost Margin'!$J36=""),'Cost Margin'!$B$8,'Cost Margin'!$J36),G$5),0,IFERROR(NETWORKDAYS(MAX(IF(OR('Cost Margin'!$B$14="Y",'Cost Margin'!$J36=""),'Cost Margin'!$B$8,'Cost Margin'!$J36),G$5),MIN(IF(OR('Cost Margin'!$B$14="Y",'Cost Margin'!$K36=""),'Cost Margin'!$B$9,'Cost Margin'!$K36),G$6),INDEX(Settings!$A$35:$D$74,0,MATCH('Cost Margin'!$C36,Settings!$A$34:$D$34,0))),NETWORKDAYS(MAX(IF(OR('Cost Margin'!$B$14="Y",'Cost Margin'!$J36=""),'Cost Margin'!$B$8,'Cost Margin'!$J36),G$5),MIN(IF(OR('Cost Margin'!$B$14="Y",'Cost Margin'!$K36=""),'Cost Margin'!$B$9,'Cost Margin'!$K36),G$6)))))</f>
        <v>0</v>
      </c>
      <c r="H28" s="35" t="n">
        <f aca="false">IF(OR(H$5="",'Cost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Margin'!$K36),H$6)&lt;MAX(IF(OR('Cost Margin'!$B$14="Y",'Cost Margin'!$J36=""),'Cost Margin'!$B$8,'Cost Margin'!$J36),H$5),0,IFERROR(NETWORKDAYS(MAX(IF(OR('Cost Margin'!$B$14="Y",'Cost Margin'!$J36=""),'Cost Margin'!$B$8,'Cost Margin'!$J36),H$5),MIN(IF(OR('Cost Margin'!$B$14="Y",'Cost Margin'!$K36=""),'Cost Margin'!$B$9,'Cost Margin'!$K36),H$6),INDEX(Settings!$A$35:$D$74,0,MATCH('Cost Margin'!$C36,Settings!$A$34:$D$34,0))),NETWORKDAYS(MAX(IF(OR('Cost Margin'!$B$14="Y",'Cost Margin'!$J36=""),'Cost Margin'!$B$8,'Cost Margin'!$J36),H$5),MIN(IF(OR('Cost Margin'!$B$14="Y",'Cost Margin'!$K36=""),'Cost Margin'!$B$9,'Cost Margin'!$K36),H$6)))))</f>
        <v>0</v>
      </c>
      <c r="I28" s="35" t="n">
        <f aca="false">IF(OR(I$5="",'Cost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Margin'!$K36),I$6)&lt;MAX(IF(OR('Cost Margin'!$B$14="Y",'Cost Margin'!$J36=""),'Cost Margin'!$B$8,'Cost Margin'!$J36),I$5),0,IFERROR(NETWORKDAYS(MAX(IF(OR('Cost Margin'!$B$14="Y",'Cost Margin'!$J36=""),'Cost Margin'!$B$8,'Cost Margin'!$J36),I$5),MIN(IF(OR('Cost Margin'!$B$14="Y",'Cost Margin'!$K36=""),'Cost Margin'!$B$9,'Cost Margin'!$K36),I$6),INDEX(Settings!$A$35:$D$74,0,MATCH('Cost Margin'!$C36,Settings!$A$34:$D$34,0))),NETWORKDAYS(MAX(IF(OR('Cost Margin'!$B$14="Y",'Cost Margin'!$J36=""),'Cost Margin'!$B$8,'Cost Margin'!$J36),I$5),MIN(IF(OR('Cost Margin'!$B$14="Y",'Cost Margin'!$K36=""),'Cost Margin'!$B$9,'Cost Margin'!$K36),I$6)))))</f>
        <v>0</v>
      </c>
      <c r="J28" s="35" t="n">
        <f aca="false">IF(OR(J$5="",'Cost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Margin'!$K36),J$6)&lt;MAX(IF(OR('Cost Margin'!$B$14="Y",'Cost Margin'!$J36=""),'Cost Margin'!$B$8,'Cost Margin'!$J36),J$5),0,IFERROR(NETWORKDAYS(MAX(IF(OR('Cost Margin'!$B$14="Y",'Cost Margin'!$J36=""),'Cost Margin'!$B$8,'Cost Margin'!$J36),J$5),MIN(IF(OR('Cost Margin'!$B$14="Y",'Cost Margin'!$K36=""),'Cost Margin'!$B$9,'Cost Margin'!$K36),J$6),INDEX(Settings!$A$35:$D$74,0,MATCH('Cost Margin'!$C36,Settings!$A$34:$D$34,0))),NETWORKDAYS(MAX(IF(OR('Cost Margin'!$B$14="Y",'Cost Margin'!$J36=""),'Cost Margin'!$B$8,'Cost Margin'!$J36),J$5),MIN(IF(OR('Cost Margin'!$B$14="Y",'Cost Margin'!$K36=""),'Cost Margin'!$B$9,'Cost Margin'!$K36),J$6)))))</f>
        <v>0</v>
      </c>
      <c r="K28" s="35" t="n">
        <f aca="false">IF(OR(K$5="",'Cost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Margin'!$K36),K$6)&lt;MAX(IF(OR('Cost Margin'!$B$14="Y",'Cost Margin'!$J36=""),'Cost Margin'!$B$8,'Cost Margin'!$J36),K$5),0,IFERROR(NETWORKDAYS(MAX(IF(OR('Cost Margin'!$B$14="Y",'Cost Margin'!$J36=""),'Cost Margin'!$B$8,'Cost Margin'!$J36),K$5),MIN(IF(OR('Cost Margin'!$B$14="Y",'Cost Margin'!$K36=""),'Cost Margin'!$B$9,'Cost Margin'!$K36),K$6),INDEX(Settings!$A$35:$D$74,0,MATCH('Cost Margin'!$C36,Settings!$A$34:$D$34,0))),NETWORKDAYS(MAX(IF(OR('Cost Margin'!$B$14="Y",'Cost Margin'!$J36=""),'Cost Margin'!$B$8,'Cost Margin'!$J36),K$5),MIN(IF(OR('Cost Margin'!$B$14="Y",'Cost Margin'!$K36=""),'Cost Margin'!$B$9,'Cost Margin'!$K36),K$6)))))</f>
        <v>0</v>
      </c>
      <c r="L28" s="35" t="n">
        <f aca="false">IF(OR(L$5="",'Cost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Margin'!$K36),L$6)&lt;MAX(IF(OR('Cost Margin'!$B$14="Y",'Cost Margin'!$J36=""),'Cost Margin'!$B$8,'Cost Margin'!$J36),L$5),0,IFERROR(NETWORKDAYS(MAX(IF(OR('Cost Margin'!$B$14="Y",'Cost Margin'!$J36=""),'Cost Margin'!$B$8,'Cost Margin'!$J36),L$5),MIN(IF(OR('Cost Margin'!$B$14="Y",'Cost Margin'!$K36=""),'Cost Margin'!$B$9,'Cost Margin'!$K36),L$6),INDEX(Settings!$A$35:$D$74,0,MATCH('Cost Margin'!$C36,Settings!$A$34:$D$34,0))),NETWORKDAYS(MAX(IF(OR('Cost Margin'!$B$14="Y",'Cost Margin'!$J36=""),'Cost Margin'!$B$8,'Cost Margin'!$J36),L$5),MIN(IF(OR('Cost Margin'!$B$14="Y",'Cost Margin'!$K36=""),'Cost Margin'!$B$9,'Cost Margin'!$K36),L$6)))))</f>
        <v>0</v>
      </c>
      <c r="M28" s="35" t="n">
        <f aca="false">IF(OR(M$5="",'Cost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Margin'!$K36),M$6)&lt;MAX(IF(OR('Cost Margin'!$B$14="Y",'Cost Margin'!$J36=""),'Cost Margin'!$B$8,'Cost Margin'!$J36),M$5),0,IFERROR(NETWORKDAYS(MAX(IF(OR('Cost Margin'!$B$14="Y",'Cost Margin'!$J36=""),'Cost Margin'!$B$8,'Cost Margin'!$J36),M$5),MIN(IF(OR('Cost Margin'!$B$14="Y",'Cost Margin'!$K36=""),'Cost Margin'!$B$9,'Cost Margin'!$K36),M$6),INDEX(Settings!$A$35:$D$74,0,MATCH('Cost Margin'!$C36,Settings!$A$34:$D$34,0))),NETWORKDAYS(MAX(IF(OR('Cost Margin'!$B$14="Y",'Cost Margin'!$J36=""),'Cost Margin'!$B$8,'Cost Margin'!$J36),M$5),MIN(IF(OR('Cost Margin'!$B$14="Y",'Cost Margin'!$K36=""),'Cost Margin'!$B$9,'Cost Margin'!$K36),M$6)))))</f>
        <v>0</v>
      </c>
      <c r="N28" s="35" t="n">
        <f aca="false">IF(OR(N$5="",'Cost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Margin'!$K36),N$6)&lt;MAX(IF(OR('Cost Margin'!$B$14="Y",'Cost Margin'!$J36=""),'Cost Margin'!$B$8,'Cost Margin'!$J36),N$5),0,IFERROR(NETWORKDAYS(MAX(IF(OR('Cost Margin'!$B$14="Y",'Cost Margin'!$J36=""),'Cost Margin'!$B$8,'Cost Margin'!$J36),N$5),MIN(IF(OR('Cost Margin'!$B$14="Y",'Cost Margin'!$K36=""),'Cost Margin'!$B$9,'Cost Margin'!$K36),N$6),INDEX(Settings!$A$35:$D$74,0,MATCH('Cost Margin'!$C36,Settings!$A$34:$D$34,0))),NETWORKDAYS(MAX(IF(OR('Cost Margin'!$B$14="Y",'Cost Margin'!$J36=""),'Cost Margin'!$B$8,'Cost Margin'!$J36),N$5),MIN(IF(OR('Cost Margin'!$B$14="Y",'Cost Margin'!$K36=""),'Cost Margin'!$B$9,'Cost Margin'!$K36),N$6)))))</f>
        <v>0</v>
      </c>
      <c r="O28" s="35" t="n">
        <f aca="false">IF(OR(O$5="",'Cost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Margin'!$K36),O$6)&lt;MAX(IF(OR('Cost Margin'!$B$14="Y",'Cost Margin'!$J36=""),'Cost Margin'!$B$8,'Cost Margin'!$J36),O$5),0,IFERROR(NETWORKDAYS(MAX(IF(OR('Cost Margin'!$B$14="Y",'Cost Margin'!$J36=""),'Cost Margin'!$B$8,'Cost Margin'!$J36),O$5),MIN(IF(OR('Cost Margin'!$B$14="Y",'Cost Margin'!$K36=""),'Cost Margin'!$B$9,'Cost Margin'!$K36),O$6),INDEX(Settings!$A$35:$D$74,0,MATCH('Cost Margin'!$C36,Settings!$A$34:$D$34,0))),NETWORKDAYS(MAX(IF(OR('Cost Margin'!$B$14="Y",'Cost Margin'!$J36=""),'Cost Margin'!$B$8,'Cost Margin'!$J36),O$5),MIN(IF(OR('Cost Margin'!$B$14="Y",'Cost Margin'!$K36=""),'Cost Margin'!$B$9,'Cost Margin'!$K36),O$6)))))</f>
        <v>0</v>
      </c>
      <c r="P28" s="35" t="n">
        <f aca="false">IF(OR(P$5="",'Cost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Margin'!$K36),P$6)&lt;MAX(IF(OR('Cost Margin'!$B$14="Y",'Cost Margin'!$J36=""),'Cost Margin'!$B$8,'Cost Margin'!$J36),P$5),0,IFERROR(NETWORKDAYS(MAX(IF(OR('Cost Margin'!$B$14="Y",'Cost Margin'!$J36=""),'Cost Margin'!$B$8,'Cost Margin'!$J36),P$5),MIN(IF(OR('Cost Margin'!$B$14="Y",'Cost Margin'!$K36=""),'Cost Margin'!$B$9,'Cost Margin'!$K36),P$6),INDEX(Settings!$A$35:$D$74,0,MATCH('Cost Margin'!$C36,Settings!$A$34:$D$34,0))),NETWORKDAYS(MAX(IF(OR('Cost Margin'!$B$14="Y",'Cost Margin'!$J36=""),'Cost Margin'!$B$8,'Cost Margin'!$J36),P$5),MIN(IF(OR('Cost Margin'!$B$14="Y",'Cost Margin'!$K36=""),'Cost Margin'!$B$9,'Cost Margin'!$K36),P$6)))))</f>
        <v>0</v>
      </c>
      <c r="Q28" s="35" t="n">
        <f aca="false">IF(OR(Q$5="",'Cost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Margin'!$K36),Q$6)&lt;MAX(IF(OR('Cost Margin'!$B$14="Y",'Cost Margin'!$J36=""),'Cost Margin'!$B$8,'Cost Margin'!$J36),Q$5),0,IFERROR(NETWORKDAYS(MAX(IF(OR('Cost Margin'!$B$14="Y",'Cost Margin'!$J36=""),'Cost Margin'!$B$8,'Cost Margin'!$J36),Q$5),MIN(IF(OR('Cost Margin'!$B$14="Y",'Cost Margin'!$K36=""),'Cost Margin'!$B$9,'Cost Margin'!$K36),Q$6),INDEX(Settings!$A$35:$D$74,0,MATCH('Cost Margin'!$C36,Settings!$A$34:$D$34,0))),NETWORKDAYS(MAX(IF(OR('Cost Margin'!$B$14="Y",'Cost Margin'!$J36=""),'Cost Margin'!$B$8,'Cost Margin'!$J36),Q$5),MIN(IF(OR('Cost Margin'!$B$14="Y",'Cost Margin'!$K36=""),'Cost Margin'!$B$9,'Cost Margin'!$K36),Q$6)))))</f>
        <v>0</v>
      </c>
      <c r="R28" s="35" t="n">
        <f aca="false">IF(OR(R$5="",'Cost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Margin'!$K36),R$6)&lt;MAX(IF(OR('Cost Margin'!$B$14="Y",'Cost Margin'!$J36=""),'Cost Margin'!$B$8,'Cost Margin'!$J36),R$5),0,IFERROR(NETWORKDAYS(MAX(IF(OR('Cost Margin'!$B$14="Y",'Cost Margin'!$J36=""),'Cost Margin'!$B$8,'Cost Margin'!$J36),R$5),MIN(IF(OR('Cost Margin'!$B$14="Y",'Cost Margin'!$K36=""),'Cost Margin'!$B$9,'Cost Margin'!$K36),R$6),INDEX(Settings!$A$35:$D$74,0,MATCH('Cost Margin'!$C36,Settings!$A$34:$D$34,0))),NETWORKDAYS(MAX(IF(OR('Cost Margin'!$B$14="Y",'Cost Margin'!$J36=""),'Cost Margin'!$B$8,'Cost Margin'!$J36),R$5),MIN(IF(OR('Cost Margin'!$B$14="Y",'Cost Margin'!$K36=""),'Cost Margin'!$B$9,'Cost Margin'!$K36),R$6)))))</f>
        <v>0</v>
      </c>
      <c r="S28" s="35" t="n">
        <f aca="false">IF(OR(S$5="",'Cost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Margin'!$K36),S$6)&lt;MAX(IF(OR('Cost Margin'!$B$14="Y",'Cost Margin'!$J36=""),'Cost Margin'!$B$8,'Cost Margin'!$J36),S$5),0,IFERROR(NETWORKDAYS(MAX(IF(OR('Cost Margin'!$B$14="Y",'Cost Margin'!$J36=""),'Cost Margin'!$B$8,'Cost Margin'!$J36),S$5),MIN(IF(OR('Cost Margin'!$B$14="Y",'Cost Margin'!$K36=""),'Cost Margin'!$B$9,'Cost Margin'!$K36),S$6),INDEX(Settings!$A$35:$D$74,0,MATCH('Cost Margin'!$C36,Settings!$A$34:$D$34,0))),NETWORKDAYS(MAX(IF(OR('Cost Margin'!$B$14="Y",'Cost Margin'!$J36=""),'Cost Margin'!$B$8,'Cost Margin'!$J36),S$5),MIN(IF(OR('Cost Margin'!$B$14="Y",'Cost Margin'!$K36=""),'Cost Margin'!$B$9,'Cost Margin'!$K36),S$6)))))</f>
        <v>0</v>
      </c>
      <c r="T28" s="35" t="n">
        <f aca="false">IF(OR(T$5="",'Cost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Margin'!$K36),T$6)&lt;MAX(IF(OR('Cost Margin'!$B$14="Y",'Cost Margin'!$J36=""),'Cost Margin'!$B$8,'Cost Margin'!$J36),T$5),0,IFERROR(NETWORKDAYS(MAX(IF(OR('Cost Margin'!$B$14="Y",'Cost Margin'!$J36=""),'Cost Margin'!$B$8,'Cost Margin'!$J36),T$5),MIN(IF(OR('Cost Margin'!$B$14="Y",'Cost Margin'!$K36=""),'Cost Margin'!$B$9,'Cost Margin'!$K36),T$6),INDEX(Settings!$A$35:$D$74,0,MATCH('Cost Margin'!$C36,Settings!$A$34:$D$34,0))),NETWORKDAYS(MAX(IF(OR('Cost Margin'!$B$14="Y",'Cost Margin'!$J36=""),'Cost Margin'!$B$8,'Cost Margin'!$J36),T$5),MIN(IF(OR('Cost Margin'!$B$14="Y",'Cost Margin'!$K36=""),'Cost Margin'!$B$9,'Cost Margin'!$K36),T$6)))))</f>
        <v>0</v>
      </c>
      <c r="U28" s="35" t="n">
        <f aca="false">IF(OR(U$5="",'Cost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Margin'!$K36),U$6)&lt;MAX(IF(OR('Cost Margin'!$B$14="Y",'Cost Margin'!$J36=""),'Cost Margin'!$B$8,'Cost Margin'!$J36),U$5),0,IFERROR(NETWORKDAYS(MAX(IF(OR('Cost Margin'!$B$14="Y",'Cost Margin'!$J36=""),'Cost Margin'!$B$8,'Cost Margin'!$J36),U$5),MIN(IF(OR('Cost Margin'!$B$14="Y",'Cost Margin'!$K36=""),'Cost Margin'!$B$9,'Cost Margin'!$K36),U$6),INDEX(Settings!$A$35:$D$74,0,MATCH('Cost Margin'!$C36,Settings!$A$34:$D$34,0))),NETWORKDAYS(MAX(IF(OR('Cost Margin'!$B$14="Y",'Cost Margin'!$J36=""),'Cost Margin'!$B$8,'Cost Margin'!$J36),U$5),MIN(IF(OR('Cost Margin'!$B$14="Y",'Cost Margin'!$K36=""),'Cost Margin'!$B$9,'Cost Margin'!$K36),U$6)))))</f>
        <v>0</v>
      </c>
      <c r="V28" s="35" t="n">
        <f aca="false">IF(OR(V$5="",'Cost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Margin'!$K36),V$6)&lt;MAX(IF(OR('Cost Margin'!$B$14="Y",'Cost Margin'!$J36=""),'Cost Margin'!$B$8,'Cost Margin'!$J36),V$5),0,IFERROR(NETWORKDAYS(MAX(IF(OR('Cost Margin'!$B$14="Y",'Cost Margin'!$J36=""),'Cost Margin'!$B$8,'Cost Margin'!$J36),V$5),MIN(IF(OR('Cost Margin'!$B$14="Y",'Cost Margin'!$K36=""),'Cost Margin'!$B$9,'Cost Margin'!$K36),V$6),INDEX(Settings!$A$35:$D$74,0,MATCH('Cost Margin'!$C36,Settings!$A$34:$D$34,0))),NETWORKDAYS(MAX(IF(OR('Cost Margin'!$B$14="Y",'Cost Margin'!$J36=""),'Cost Margin'!$B$8,'Cost Margin'!$J36),V$5),MIN(IF(OR('Cost Margin'!$B$14="Y",'Cost Margin'!$K36=""),'Cost Margin'!$B$9,'Cost Margin'!$K36),V$6)))))</f>
        <v>0</v>
      </c>
      <c r="W28" s="35" t="n">
        <f aca="false">IF(OR(W$5="",'Cost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Margin'!$K36),W$6)&lt;MAX(IF(OR('Cost Margin'!$B$14="Y",'Cost Margin'!$J36=""),'Cost Margin'!$B$8,'Cost Margin'!$J36),W$5),0,IFERROR(NETWORKDAYS(MAX(IF(OR('Cost Margin'!$B$14="Y",'Cost Margin'!$J36=""),'Cost Margin'!$B$8,'Cost Margin'!$J36),W$5),MIN(IF(OR('Cost Margin'!$B$14="Y",'Cost Margin'!$K36=""),'Cost Margin'!$B$9,'Cost Margin'!$K36),W$6),INDEX(Settings!$A$35:$D$74,0,MATCH('Cost Margin'!$C36,Settings!$A$34:$D$34,0))),NETWORKDAYS(MAX(IF(OR('Cost Margin'!$B$14="Y",'Cost Margin'!$J36=""),'Cost Margin'!$B$8,'Cost Margin'!$J36),W$5),MIN(IF(OR('Cost Margin'!$B$14="Y",'Cost Margin'!$K36=""),'Cost Margin'!$B$9,'Cost Margin'!$K36),W$6)))))</f>
        <v>0</v>
      </c>
      <c r="X28" s="35" t="n">
        <f aca="false">IF(OR(X$5="",'Cost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Margin'!$K36),X$6)&lt;MAX(IF(OR('Cost Margin'!$B$14="Y",'Cost Margin'!$J36=""),'Cost Margin'!$B$8,'Cost Margin'!$J36),X$5),0,IFERROR(NETWORKDAYS(MAX(IF(OR('Cost Margin'!$B$14="Y",'Cost Margin'!$J36=""),'Cost Margin'!$B$8,'Cost Margin'!$J36),X$5),MIN(IF(OR('Cost Margin'!$B$14="Y",'Cost Margin'!$K36=""),'Cost Margin'!$B$9,'Cost Margin'!$K36),X$6),INDEX(Settings!$A$35:$D$74,0,MATCH('Cost Margin'!$C36,Settings!$A$34:$D$34,0))),NETWORKDAYS(MAX(IF(OR('Cost Margin'!$B$14="Y",'Cost Margin'!$J36=""),'Cost Margin'!$B$8,'Cost Margin'!$J36),X$5),MIN(IF(OR('Cost Margin'!$B$14="Y",'Cost Margin'!$K36=""),'Cost Margin'!$B$9,'Cost Margin'!$K36),X$6)))))</f>
        <v>0</v>
      </c>
      <c r="Y28" s="35" t="n">
        <f aca="false">IF(OR(Y$5="",'Cost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Margin'!$K36),Y$6)&lt;MAX(IF(OR('Cost Margin'!$B$14="Y",'Cost Margin'!$J36=""),'Cost Margin'!$B$8,'Cost Margin'!$J36),Y$5),0,IFERROR(NETWORKDAYS(MAX(IF(OR('Cost Margin'!$B$14="Y",'Cost Margin'!$J36=""),'Cost Margin'!$B$8,'Cost Margin'!$J36),Y$5),MIN(IF(OR('Cost Margin'!$B$14="Y",'Cost Margin'!$K36=""),'Cost Margin'!$B$9,'Cost Margin'!$K36),Y$6),INDEX(Settings!$A$35:$D$74,0,MATCH('Cost Margin'!$C36,Settings!$A$34:$D$34,0))),NETWORKDAYS(MAX(IF(OR('Cost Margin'!$B$14="Y",'Cost Margin'!$J36=""),'Cost Margin'!$B$8,'Cost Margin'!$J36),Y$5),MIN(IF(OR('Cost Margin'!$B$14="Y",'Cost Margin'!$K36=""),'Cost Margin'!$B$9,'Cost Margin'!$K36),Y$6)))))</f>
        <v>0</v>
      </c>
      <c r="Z28" s="35" t="n">
        <f aca="false">IF(OR(Z$5="",'Cost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Margin'!$K36),Z$6)&lt;MAX(IF(OR('Cost Margin'!$B$14="Y",'Cost Margin'!$J36=""),'Cost Margin'!$B$8,'Cost Margin'!$J36),Z$5),0,IFERROR(NETWORKDAYS(MAX(IF(OR('Cost Margin'!$B$14="Y",'Cost Margin'!$J36=""),'Cost Margin'!$B$8,'Cost Margin'!$J36),Z$5),MIN(IF(OR('Cost Margin'!$B$14="Y",'Cost Margin'!$K36=""),'Cost Margin'!$B$9,'Cost Margin'!$K36),Z$6),INDEX(Settings!$A$35:$D$74,0,MATCH('Cost Margin'!$C36,Settings!$A$34:$D$34,0))),NETWORKDAYS(MAX(IF(OR('Cost Margin'!$B$14="Y",'Cost Margin'!$J36=""),'Cost Margin'!$B$8,'Cost Margin'!$J36),Z$5),MIN(IF(OR('Cost Margin'!$B$14="Y",'Cost Margin'!$K36=""),'Cost Margin'!$B$9,'Cost Margin'!$K36),Z$6)))))</f>
        <v>0</v>
      </c>
      <c r="AB28" s="34" t="str">
        <f aca="false">IF('Cost Margin'!A36="","",IF('Cost Margin'!E36="","(unassigned)",'Cost Margin'!E36))</f>
        <v/>
      </c>
    </row>
    <row r="30" customFormat="false" ht="15" hidden="false" customHeight="false" outlineLevel="0" collapsed="false">
      <c r="A30" s="3" t="s">
        <v>144</v>
      </c>
      <c r="AB30" s="13" t="s">
        <v>143</v>
      </c>
    </row>
    <row r="31" customFormat="false" ht="15" hidden="false" customHeight="false" outlineLevel="0" collapsed="false">
      <c r="A31" s="0" t="n">
        <v>1</v>
      </c>
      <c r="B31" s="34" t="str">
        <f aca="false">IF('Cost Margin'!A17="","",'Cost Margin'!A17&amp;IF('Cost Margin'!E17="",""," · "&amp;'Cost Margin'!E17))</f>
        <v/>
      </c>
      <c r="C31" s="35" t="n">
        <f aca="false">IF(C9=0,0,IF('Cost Margin'!$M17&lt;&gt;"",'Cost Margin'!$M17*C9/'Cost Margin'!$L17,C9*Settings!$B$5*IF('Cost Margin'!$F17="",1,'Cost Margin'!$F17)))</f>
        <v>0</v>
      </c>
      <c r="D31" s="35" t="n">
        <f aca="false">IF(D9=0,0,IF('Cost Margin'!$M17&lt;&gt;"",'Cost Margin'!$M17*D9/'Cost Margin'!$L17,D9*Settings!$B$5*IF('Cost Margin'!$F17="",1,'Cost Margin'!$F17)))</f>
        <v>0</v>
      </c>
      <c r="E31" s="35" t="n">
        <f aca="false">IF(E9=0,0,IF('Cost Margin'!$M17&lt;&gt;"",'Cost Margin'!$M17*E9/'Cost Margin'!$L17,E9*Settings!$B$5*IF('Cost Margin'!$F17="",1,'Cost Margin'!$F17)))</f>
        <v>0</v>
      </c>
      <c r="F31" s="35" t="n">
        <f aca="false">IF(F9=0,0,IF('Cost Margin'!$M17&lt;&gt;"",'Cost Margin'!$M17*F9/'Cost Margin'!$L17,F9*Settings!$B$5*IF('Cost Margin'!$F17="",1,'Cost Margin'!$F17)))</f>
        <v>0</v>
      </c>
      <c r="G31" s="35" t="n">
        <f aca="false">IF(G9=0,0,IF('Cost Margin'!$M17&lt;&gt;"",'Cost Margin'!$M17*G9/'Cost Margin'!$L17,G9*Settings!$B$5*IF('Cost Margin'!$F17="",1,'Cost Margin'!$F17)))</f>
        <v>0</v>
      </c>
      <c r="H31" s="35" t="n">
        <f aca="false">IF(H9=0,0,IF('Cost Margin'!$M17&lt;&gt;"",'Cost Margin'!$M17*H9/'Cost Margin'!$L17,H9*Settings!$B$5*IF('Cost Margin'!$F17="",1,'Cost Margin'!$F17)))</f>
        <v>0</v>
      </c>
      <c r="I31" s="35" t="n">
        <f aca="false">IF(I9=0,0,IF('Cost Margin'!$M17&lt;&gt;"",'Cost Margin'!$M17*I9/'Cost Margin'!$L17,I9*Settings!$B$5*IF('Cost Margin'!$F17="",1,'Cost Margin'!$F17)))</f>
        <v>0</v>
      </c>
      <c r="J31" s="35" t="n">
        <f aca="false">IF(J9=0,0,IF('Cost Margin'!$M17&lt;&gt;"",'Cost Margin'!$M17*J9/'Cost Margin'!$L17,J9*Settings!$B$5*IF('Cost Margin'!$F17="",1,'Cost Margin'!$F17)))</f>
        <v>0</v>
      </c>
      <c r="K31" s="35" t="n">
        <f aca="false">IF(K9=0,0,IF('Cost Margin'!$M17&lt;&gt;"",'Cost Margin'!$M17*K9/'Cost Margin'!$L17,K9*Settings!$B$5*IF('Cost Margin'!$F17="",1,'Cost Margin'!$F17)))</f>
        <v>0</v>
      </c>
      <c r="L31" s="35" t="n">
        <f aca="false">IF(L9=0,0,IF('Cost Margin'!$M17&lt;&gt;"",'Cost Margin'!$M17*L9/'Cost Margin'!$L17,L9*Settings!$B$5*IF('Cost Margin'!$F17="",1,'Cost Margin'!$F17)))</f>
        <v>0</v>
      </c>
      <c r="M31" s="35" t="n">
        <f aca="false">IF(M9=0,0,IF('Cost Margin'!$M17&lt;&gt;"",'Cost Margin'!$M17*M9/'Cost Margin'!$L17,M9*Settings!$B$5*IF('Cost Margin'!$F17="",1,'Cost Margin'!$F17)))</f>
        <v>0</v>
      </c>
      <c r="N31" s="35" t="n">
        <f aca="false">IF(N9=0,0,IF('Cost Margin'!$M17&lt;&gt;"",'Cost Margin'!$M17*N9/'Cost Margin'!$L17,N9*Settings!$B$5*IF('Cost Margin'!$F17="",1,'Cost Margin'!$F17)))</f>
        <v>0</v>
      </c>
      <c r="O31" s="35" t="n">
        <f aca="false">IF(O9=0,0,IF('Cost Margin'!$M17&lt;&gt;"",'Cost Margin'!$M17*O9/'Cost Margin'!$L17,O9*Settings!$B$5*IF('Cost Margin'!$F17="",1,'Cost Margin'!$F17)))</f>
        <v>0</v>
      </c>
      <c r="P31" s="35" t="n">
        <f aca="false">IF(P9=0,0,IF('Cost Margin'!$M17&lt;&gt;"",'Cost Margin'!$M17*P9/'Cost Margin'!$L17,P9*Settings!$B$5*IF('Cost Margin'!$F17="",1,'Cost Margin'!$F17)))</f>
        <v>0</v>
      </c>
      <c r="Q31" s="35" t="n">
        <f aca="false">IF(Q9=0,0,IF('Cost Margin'!$M17&lt;&gt;"",'Cost Margin'!$M17*Q9/'Cost Margin'!$L17,Q9*Settings!$B$5*IF('Cost Margin'!$F17="",1,'Cost Margin'!$F17)))</f>
        <v>0</v>
      </c>
      <c r="R31" s="35" t="n">
        <f aca="false">IF(R9=0,0,IF('Cost Margin'!$M17&lt;&gt;"",'Cost Margin'!$M17*R9/'Cost Margin'!$L17,R9*Settings!$B$5*IF('Cost Margin'!$F17="",1,'Cost Margin'!$F17)))</f>
        <v>0</v>
      </c>
      <c r="S31" s="35" t="n">
        <f aca="false">IF(S9=0,0,IF('Cost Margin'!$M17&lt;&gt;"",'Cost Margin'!$M17*S9/'Cost Margin'!$L17,S9*Settings!$B$5*IF('Cost Margin'!$F17="",1,'Cost Margin'!$F17)))</f>
        <v>0</v>
      </c>
      <c r="T31" s="35" t="n">
        <f aca="false">IF(T9=0,0,IF('Cost Margin'!$M17&lt;&gt;"",'Cost Margin'!$M17*T9/'Cost Margin'!$L17,T9*Settings!$B$5*IF('Cost Margin'!$F17="",1,'Cost Margin'!$F17)))</f>
        <v>0</v>
      </c>
      <c r="U31" s="35" t="n">
        <f aca="false">IF(U9=0,0,IF('Cost Margin'!$M17&lt;&gt;"",'Cost Margin'!$M17*U9/'Cost Margin'!$L17,U9*Settings!$B$5*IF('Cost Margin'!$F17="",1,'Cost Margin'!$F17)))</f>
        <v>0</v>
      </c>
      <c r="V31" s="35" t="n">
        <f aca="false">IF(V9=0,0,IF('Cost Margin'!$M17&lt;&gt;"",'Cost Margin'!$M17*V9/'Cost Margin'!$L17,V9*Settings!$B$5*IF('Cost Margin'!$F17="",1,'Cost Margin'!$F17)))</f>
        <v>0</v>
      </c>
      <c r="W31" s="35" t="n">
        <f aca="false">IF(W9=0,0,IF('Cost Margin'!$M17&lt;&gt;"",'Cost Margin'!$M17*W9/'Cost Margin'!$L17,W9*Settings!$B$5*IF('Cost Margin'!$F17="",1,'Cost Margin'!$F17)))</f>
        <v>0</v>
      </c>
      <c r="X31" s="35" t="n">
        <f aca="false">IF(X9=0,0,IF('Cost Margin'!$M17&lt;&gt;"",'Cost Margin'!$M17*X9/'Cost Margin'!$L17,X9*Settings!$B$5*IF('Cost Margin'!$F17="",1,'Cost Margin'!$F17)))</f>
        <v>0</v>
      </c>
      <c r="Y31" s="35" t="n">
        <f aca="false">IF(Y9=0,0,IF('Cost Margin'!$M17&lt;&gt;"",'Cost Margin'!$M17*Y9/'Cost Margin'!$L17,Y9*Settings!$B$5*IF('Cost Margin'!$F17="",1,'Cost Margin'!$F17)))</f>
        <v>0</v>
      </c>
      <c r="Z31" s="35" t="n">
        <f aca="false">IF(Z9=0,0,IF('Cost Margin'!$M17&lt;&gt;"",'Cost Margin'!$M17*Z9/'Cost Margin'!$L17,Z9*Settings!$B$5*IF('Cost Margin'!$F17="",1,'Cost Margin'!$F17)))</f>
        <v>0</v>
      </c>
      <c r="AB31" s="34" t="str">
        <f aca="false">IF('Cost Margin'!A17="","",IF('Cost Margin'!E17="","(unassigned)",'Cost Margin'!E17))</f>
        <v/>
      </c>
    </row>
    <row r="32" customFormat="false" ht="15" hidden="false" customHeight="false" outlineLevel="0" collapsed="false">
      <c r="A32" s="0" t="n">
        <v>2</v>
      </c>
      <c r="B32" s="34" t="str">
        <f aca="false">IF('Cost Margin'!A18="","",'Cost Margin'!A18&amp;IF('Cost Margin'!E18="",""," · "&amp;'Cost Margin'!E18))</f>
        <v/>
      </c>
      <c r="C32" s="35" t="n">
        <f aca="false">IF(C10=0,0,IF('Cost Margin'!$M18&lt;&gt;"",'Cost Margin'!$M18*C10/'Cost Margin'!$L18,C10*Settings!$B$5*IF('Cost Margin'!$F18="",1,'Cost Margin'!$F18)))</f>
        <v>0</v>
      </c>
      <c r="D32" s="35" t="n">
        <f aca="false">IF(D10=0,0,IF('Cost Margin'!$M18&lt;&gt;"",'Cost Margin'!$M18*D10/'Cost Margin'!$L18,D10*Settings!$B$5*IF('Cost Margin'!$F18="",1,'Cost Margin'!$F18)))</f>
        <v>0</v>
      </c>
      <c r="E32" s="35" t="n">
        <f aca="false">IF(E10=0,0,IF('Cost Margin'!$M18&lt;&gt;"",'Cost Margin'!$M18*E10/'Cost Margin'!$L18,E10*Settings!$B$5*IF('Cost Margin'!$F18="",1,'Cost Margin'!$F18)))</f>
        <v>0</v>
      </c>
      <c r="F32" s="35" t="n">
        <f aca="false">IF(F10=0,0,IF('Cost Margin'!$M18&lt;&gt;"",'Cost Margin'!$M18*F10/'Cost Margin'!$L18,F10*Settings!$B$5*IF('Cost Margin'!$F18="",1,'Cost Margin'!$F18)))</f>
        <v>0</v>
      </c>
      <c r="G32" s="35" t="n">
        <f aca="false">IF(G10=0,0,IF('Cost Margin'!$M18&lt;&gt;"",'Cost Margin'!$M18*G10/'Cost Margin'!$L18,G10*Settings!$B$5*IF('Cost Margin'!$F18="",1,'Cost Margin'!$F18)))</f>
        <v>0</v>
      </c>
      <c r="H32" s="35" t="n">
        <f aca="false">IF(H10=0,0,IF('Cost Margin'!$M18&lt;&gt;"",'Cost Margin'!$M18*H10/'Cost Margin'!$L18,H10*Settings!$B$5*IF('Cost Margin'!$F18="",1,'Cost Margin'!$F18)))</f>
        <v>0</v>
      </c>
      <c r="I32" s="35" t="n">
        <f aca="false">IF(I10=0,0,IF('Cost Margin'!$M18&lt;&gt;"",'Cost Margin'!$M18*I10/'Cost Margin'!$L18,I10*Settings!$B$5*IF('Cost Margin'!$F18="",1,'Cost Margin'!$F18)))</f>
        <v>0</v>
      </c>
      <c r="J32" s="35" t="n">
        <f aca="false">IF(J10=0,0,IF('Cost Margin'!$M18&lt;&gt;"",'Cost Margin'!$M18*J10/'Cost Margin'!$L18,J10*Settings!$B$5*IF('Cost Margin'!$F18="",1,'Cost Margin'!$F18)))</f>
        <v>0</v>
      </c>
      <c r="K32" s="35" t="n">
        <f aca="false">IF(K10=0,0,IF('Cost Margin'!$M18&lt;&gt;"",'Cost Margin'!$M18*K10/'Cost Margin'!$L18,K10*Settings!$B$5*IF('Cost Margin'!$F18="",1,'Cost Margin'!$F18)))</f>
        <v>0</v>
      </c>
      <c r="L32" s="35" t="n">
        <f aca="false">IF(L10=0,0,IF('Cost Margin'!$M18&lt;&gt;"",'Cost Margin'!$M18*L10/'Cost Margin'!$L18,L10*Settings!$B$5*IF('Cost Margin'!$F18="",1,'Cost Margin'!$F18)))</f>
        <v>0</v>
      </c>
      <c r="M32" s="35" t="n">
        <f aca="false">IF(M10=0,0,IF('Cost Margin'!$M18&lt;&gt;"",'Cost Margin'!$M18*M10/'Cost Margin'!$L18,M10*Settings!$B$5*IF('Cost Margin'!$F18="",1,'Cost Margin'!$F18)))</f>
        <v>0</v>
      </c>
      <c r="N32" s="35" t="n">
        <f aca="false">IF(N10=0,0,IF('Cost Margin'!$M18&lt;&gt;"",'Cost Margin'!$M18*N10/'Cost Margin'!$L18,N10*Settings!$B$5*IF('Cost Margin'!$F18="",1,'Cost Margin'!$F18)))</f>
        <v>0</v>
      </c>
      <c r="O32" s="35" t="n">
        <f aca="false">IF(O10=0,0,IF('Cost Margin'!$M18&lt;&gt;"",'Cost Margin'!$M18*O10/'Cost Margin'!$L18,O10*Settings!$B$5*IF('Cost Margin'!$F18="",1,'Cost Margin'!$F18)))</f>
        <v>0</v>
      </c>
      <c r="P32" s="35" t="n">
        <f aca="false">IF(P10=0,0,IF('Cost Margin'!$M18&lt;&gt;"",'Cost Margin'!$M18*P10/'Cost Margin'!$L18,P10*Settings!$B$5*IF('Cost Margin'!$F18="",1,'Cost Margin'!$F18)))</f>
        <v>0</v>
      </c>
      <c r="Q32" s="35" t="n">
        <f aca="false">IF(Q10=0,0,IF('Cost Margin'!$M18&lt;&gt;"",'Cost Margin'!$M18*Q10/'Cost Margin'!$L18,Q10*Settings!$B$5*IF('Cost Margin'!$F18="",1,'Cost Margin'!$F18)))</f>
        <v>0</v>
      </c>
      <c r="R32" s="35" t="n">
        <f aca="false">IF(R10=0,0,IF('Cost Margin'!$M18&lt;&gt;"",'Cost Margin'!$M18*R10/'Cost Margin'!$L18,R10*Settings!$B$5*IF('Cost Margin'!$F18="",1,'Cost Margin'!$F18)))</f>
        <v>0</v>
      </c>
      <c r="S32" s="35" t="n">
        <f aca="false">IF(S10=0,0,IF('Cost Margin'!$M18&lt;&gt;"",'Cost Margin'!$M18*S10/'Cost Margin'!$L18,S10*Settings!$B$5*IF('Cost Margin'!$F18="",1,'Cost Margin'!$F18)))</f>
        <v>0</v>
      </c>
      <c r="T32" s="35" t="n">
        <f aca="false">IF(T10=0,0,IF('Cost Margin'!$M18&lt;&gt;"",'Cost Margin'!$M18*T10/'Cost Margin'!$L18,T10*Settings!$B$5*IF('Cost Margin'!$F18="",1,'Cost Margin'!$F18)))</f>
        <v>0</v>
      </c>
      <c r="U32" s="35" t="n">
        <f aca="false">IF(U10=0,0,IF('Cost Margin'!$M18&lt;&gt;"",'Cost Margin'!$M18*U10/'Cost Margin'!$L18,U10*Settings!$B$5*IF('Cost Margin'!$F18="",1,'Cost Margin'!$F18)))</f>
        <v>0</v>
      </c>
      <c r="V32" s="35" t="n">
        <f aca="false">IF(V10=0,0,IF('Cost Margin'!$M18&lt;&gt;"",'Cost Margin'!$M18*V10/'Cost Margin'!$L18,V10*Settings!$B$5*IF('Cost Margin'!$F18="",1,'Cost Margin'!$F18)))</f>
        <v>0</v>
      </c>
      <c r="W32" s="35" t="n">
        <f aca="false">IF(W10=0,0,IF('Cost Margin'!$M18&lt;&gt;"",'Cost Margin'!$M18*W10/'Cost Margin'!$L18,W10*Settings!$B$5*IF('Cost Margin'!$F18="",1,'Cost Margin'!$F18)))</f>
        <v>0</v>
      </c>
      <c r="X32" s="35" t="n">
        <f aca="false">IF(X10=0,0,IF('Cost Margin'!$M18&lt;&gt;"",'Cost Margin'!$M18*X10/'Cost Margin'!$L18,X10*Settings!$B$5*IF('Cost Margin'!$F18="",1,'Cost Margin'!$F18)))</f>
        <v>0</v>
      </c>
      <c r="Y32" s="35" t="n">
        <f aca="false">IF(Y10=0,0,IF('Cost Margin'!$M18&lt;&gt;"",'Cost Margin'!$M18*Y10/'Cost Margin'!$L18,Y10*Settings!$B$5*IF('Cost Margin'!$F18="",1,'Cost Margin'!$F18)))</f>
        <v>0</v>
      </c>
      <c r="Z32" s="35" t="n">
        <f aca="false">IF(Z10=0,0,IF('Cost Margin'!$M18&lt;&gt;"",'Cost Margin'!$M18*Z10/'Cost Margin'!$L18,Z10*Settings!$B$5*IF('Cost Margin'!$F18="",1,'Cost Margin'!$F18)))</f>
        <v>0</v>
      </c>
      <c r="AB32" s="34" t="str">
        <f aca="false">IF('Cost Margin'!A18="","",IF('Cost Margin'!E18="","(unassigned)",'Cost Margin'!E18))</f>
        <v/>
      </c>
    </row>
    <row r="33" customFormat="false" ht="15" hidden="false" customHeight="false" outlineLevel="0" collapsed="false">
      <c r="A33" s="0" t="n">
        <v>3</v>
      </c>
      <c r="B33" s="34" t="str">
        <f aca="false">IF('Cost Margin'!A19="","",'Cost Margin'!A19&amp;IF('Cost Margin'!E19="",""," · "&amp;'Cost Margin'!E19))</f>
        <v/>
      </c>
      <c r="C33" s="35" t="n">
        <f aca="false">IF(C11=0,0,IF('Cost Margin'!$M19&lt;&gt;"",'Cost Margin'!$M19*C11/'Cost Margin'!$L19,C11*Settings!$B$5*IF('Cost Margin'!$F19="",1,'Cost Margin'!$F19)))</f>
        <v>0</v>
      </c>
      <c r="D33" s="35" t="n">
        <f aca="false">IF(D11=0,0,IF('Cost Margin'!$M19&lt;&gt;"",'Cost Margin'!$M19*D11/'Cost Margin'!$L19,D11*Settings!$B$5*IF('Cost Margin'!$F19="",1,'Cost Margin'!$F19)))</f>
        <v>0</v>
      </c>
      <c r="E33" s="35" t="n">
        <f aca="false">IF(E11=0,0,IF('Cost Margin'!$M19&lt;&gt;"",'Cost Margin'!$M19*E11/'Cost Margin'!$L19,E11*Settings!$B$5*IF('Cost Margin'!$F19="",1,'Cost Margin'!$F19)))</f>
        <v>0</v>
      </c>
      <c r="F33" s="35" t="n">
        <f aca="false">IF(F11=0,0,IF('Cost Margin'!$M19&lt;&gt;"",'Cost Margin'!$M19*F11/'Cost Margin'!$L19,F11*Settings!$B$5*IF('Cost Margin'!$F19="",1,'Cost Margin'!$F19)))</f>
        <v>0</v>
      </c>
      <c r="G33" s="35" t="n">
        <f aca="false">IF(G11=0,0,IF('Cost Margin'!$M19&lt;&gt;"",'Cost Margin'!$M19*G11/'Cost Margin'!$L19,G11*Settings!$B$5*IF('Cost Margin'!$F19="",1,'Cost Margin'!$F19)))</f>
        <v>0</v>
      </c>
      <c r="H33" s="35" t="n">
        <f aca="false">IF(H11=0,0,IF('Cost Margin'!$M19&lt;&gt;"",'Cost Margin'!$M19*H11/'Cost Margin'!$L19,H11*Settings!$B$5*IF('Cost Margin'!$F19="",1,'Cost Margin'!$F19)))</f>
        <v>0</v>
      </c>
      <c r="I33" s="35" t="n">
        <f aca="false">IF(I11=0,0,IF('Cost Margin'!$M19&lt;&gt;"",'Cost Margin'!$M19*I11/'Cost Margin'!$L19,I11*Settings!$B$5*IF('Cost Margin'!$F19="",1,'Cost Margin'!$F19)))</f>
        <v>0</v>
      </c>
      <c r="J33" s="35" t="n">
        <f aca="false">IF(J11=0,0,IF('Cost Margin'!$M19&lt;&gt;"",'Cost Margin'!$M19*J11/'Cost Margin'!$L19,J11*Settings!$B$5*IF('Cost Margin'!$F19="",1,'Cost Margin'!$F19)))</f>
        <v>0</v>
      </c>
      <c r="K33" s="35" t="n">
        <f aca="false">IF(K11=0,0,IF('Cost Margin'!$M19&lt;&gt;"",'Cost Margin'!$M19*K11/'Cost Margin'!$L19,K11*Settings!$B$5*IF('Cost Margin'!$F19="",1,'Cost Margin'!$F19)))</f>
        <v>0</v>
      </c>
      <c r="L33" s="35" t="n">
        <f aca="false">IF(L11=0,0,IF('Cost Margin'!$M19&lt;&gt;"",'Cost Margin'!$M19*L11/'Cost Margin'!$L19,L11*Settings!$B$5*IF('Cost Margin'!$F19="",1,'Cost Margin'!$F19)))</f>
        <v>0</v>
      </c>
      <c r="M33" s="35" t="n">
        <f aca="false">IF(M11=0,0,IF('Cost Margin'!$M19&lt;&gt;"",'Cost Margin'!$M19*M11/'Cost Margin'!$L19,M11*Settings!$B$5*IF('Cost Margin'!$F19="",1,'Cost Margin'!$F19)))</f>
        <v>0</v>
      </c>
      <c r="N33" s="35" t="n">
        <f aca="false">IF(N11=0,0,IF('Cost Margin'!$M19&lt;&gt;"",'Cost Margin'!$M19*N11/'Cost Margin'!$L19,N11*Settings!$B$5*IF('Cost Margin'!$F19="",1,'Cost Margin'!$F19)))</f>
        <v>0</v>
      </c>
      <c r="O33" s="35" t="n">
        <f aca="false">IF(O11=0,0,IF('Cost Margin'!$M19&lt;&gt;"",'Cost Margin'!$M19*O11/'Cost Margin'!$L19,O11*Settings!$B$5*IF('Cost Margin'!$F19="",1,'Cost Margin'!$F19)))</f>
        <v>0</v>
      </c>
      <c r="P33" s="35" t="n">
        <f aca="false">IF(P11=0,0,IF('Cost Margin'!$M19&lt;&gt;"",'Cost Margin'!$M19*P11/'Cost Margin'!$L19,P11*Settings!$B$5*IF('Cost Margin'!$F19="",1,'Cost Margin'!$F19)))</f>
        <v>0</v>
      </c>
      <c r="Q33" s="35" t="n">
        <f aca="false">IF(Q11=0,0,IF('Cost Margin'!$M19&lt;&gt;"",'Cost Margin'!$M19*Q11/'Cost Margin'!$L19,Q11*Settings!$B$5*IF('Cost Margin'!$F19="",1,'Cost Margin'!$F19)))</f>
        <v>0</v>
      </c>
      <c r="R33" s="35" t="n">
        <f aca="false">IF(R11=0,0,IF('Cost Margin'!$M19&lt;&gt;"",'Cost Margin'!$M19*R11/'Cost Margin'!$L19,R11*Settings!$B$5*IF('Cost Margin'!$F19="",1,'Cost Margin'!$F19)))</f>
        <v>0</v>
      </c>
      <c r="S33" s="35" t="n">
        <f aca="false">IF(S11=0,0,IF('Cost Margin'!$M19&lt;&gt;"",'Cost Margin'!$M19*S11/'Cost Margin'!$L19,S11*Settings!$B$5*IF('Cost Margin'!$F19="",1,'Cost Margin'!$F19)))</f>
        <v>0</v>
      </c>
      <c r="T33" s="35" t="n">
        <f aca="false">IF(T11=0,0,IF('Cost Margin'!$M19&lt;&gt;"",'Cost Margin'!$M19*T11/'Cost Margin'!$L19,T11*Settings!$B$5*IF('Cost Margin'!$F19="",1,'Cost Margin'!$F19)))</f>
        <v>0</v>
      </c>
      <c r="U33" s="35" t="n">
        <f aca="false">IF(U11=0,0,IF('Cost Margin'!$M19&lt;&gt;"",'Cost Margin'!$M19*U11/'Cost Margin'!$L19,U11*Settings!$B$5*IF('Cost Margin'!$F19="",1,'Cost Margin'!$F19)))</f>
        <v>0</v>
      </c>
      <c r="V33" s="35" t="n">
        <f aca="false">IF(V11=0,0,IF('Cost Margin'!$M19&lt;&gt;"",'Cost Margin'!$M19*V11/'Cost Margin'!$L19,V11*Settings!$B$5*IF('Cost Margin'!$F19="",1,'Cost Margin'!$F19)))</f>
        <v>0</v>
      </c>
      <c r="W33" s="35" t="n">
        <f aca="false">IF(W11=0,0,IF('Cost Margin'!$M19&lt;&gt;"",'Cost Margin'!$M19*W11/'Cost Margin'!$L19,W11*Settings!$B$5*IF('Cost Margin'!$F19="",1,'Cost Margin'!$F19)))</f>
        <v>0</v>
      </c>
      <c r="X33" s="35" t="n">
        <f aca="false">IF(X11=0,0,IF('Cost Margin'!$M19&lt;&gt;"",'Cost Margin'!$M19*X11/'Cost Margin'!$L19,X11*Settings!$B$5*IF('Cost Margin'!$F19="",1,'Cost Margin'!$F19)))</f>
        <v>0</v>
      </c>
      <c r="Y33" s="35" t="n">
        <f aca="false">IF(Y11=0,0,IF('Cost Margin'!$M19&lt;&gt;"",'Cost Margin'!$M19*Y11/'Cost Margin'!$L19,Y11*Settings!$B$5*IF('Cost Margin'!$F19="",1,'Cost Margin'!$F19)))</f>
        <v>0</v>
      </c>
      <c r="Z33" s="35" t="n">
        <f aca="false">IF(Z11=0,0,IF('Cost Margin'!$M19&lt;&gt;"",'Cost Margin'!$M19*Z11/'Cost Margin'!$L19,Z11*Settings!$B$5*IF('Cost Margin'!$F19="",1,'Cost Margin'!$F19)))</f>
        <v>0</v>
      </c>
      <c r="AB33" s="34" t="str">
        <f aca="false">IF('Cost Margin'!A19="","",IF('Cost Margin'!E19="","(unassigned)",'Cost Margin'!E19))</f>
        <v/>
      </c>
    </row>
    <row r="34" customFormat="false" ht="15" hidden="false" customHeight="false" outlineLevel="0" collapsed="false">
      <c r="A34" s="0" t="n">
        <v>4</v>
      </c>
      <c r="B34" s="34" t="str">
        <f aca="false">IF('Cost Margin'!A20="","",'Cost Margin'!A20&amp;IF('Cost Margin'!E20="",""," · "&amp;'Cost Margin'!E20))</f>
        <v/>
      </c>
      <c r="C34" s="35" t="n">
        <f aca="false">IF(C12=0,0,IF('Cost Margin'!$M20&lt;&gt;"",'Cost Margin'!$M20*C12/'Cost Margin'!$L20,C12*Settings!$B$5*IF('Cost Margin'!$F20="",1,'Cost Margin'!$F20)))</f>
        <v>0</v>
      </c>
      <c r="D34" s="35" t="n">
        <f aca="false">IF(D12=0,0,IF('Cost Margin'!$M20&lt;&gt;"",'Cost Margin'!$M20*D12/'Cost Margin'!$L20,D12*Settings!$B$5*IF('Cost Margin'!$F20="",1,'Cost Margin'!$F20)))</f>
        <v>0</v>
      </c>
      <c r="E34" s="35" t="n">
        <f aca="false">IF(E12=0,0,IF('Cost Margin'!$M20&lt;&gt;"",'Cost Margin'!$M20*E12/'Cost Margin'!$L20,E12*Settings!$B$5*IF('Cost Margin'!$F20="",1,'Cost Margin'!$F20)))</f>
        <v>0</v>
      </c>
      <c r="F34" s="35" t="n">
        <f aca="false">IF(F12=0,0,IF('Cost Margin'!$M20&lt;&gt;"",'Cost Margin'!$M20*F12/'Cost Margin'!$L20,F12*Settings!$B$5*IF('Cost Margin'!$F20="",1,'Cost Margin'!$F20)))</f>
        <v>0</v>
      </c>
      <c r="G34" s="35" t="n">
        <f aca="false">IF(G12=0,0,IF('Cost Margin'!$M20&lt;&gt;"",'Cost Margin'!$M20*G12/'Cost Margin'!$L20,G12*Settings!$B$5*IF('Cost Margin'!$F20="",1,'Cost Margin'!$F20)))</f>
        <v>0</v>
      </c>
      <c r="H34" s="35" t="n">
        <f aca="false">IF(H12=0,0,IF('Cost Margin'!$M20&lt;&gt;"",'Cost Margin'!$M20*H12/'Cost Margin'!$L20,H12*Settings!$B$5*IF('Cost Margin'!$F20="",1,'Cost Margin'!$F20)))</f>
        <v>0</v>
      </c>
      <c r="I34" s="35" t="n">
        <f aca="false">IF(I12=0,0,IF('Cost Margin'!$M20&lt;&gt;"",'Cost Margin'!$M20*I12/'Cost Margin'!$L20,I12*Settings!$B$5*IF('Cost Margin'!$F20="",1,'Cost Margin'!$F20)))</f>
        <v>0</v>
      </c>
      <c r="J34" s="35" t="n">
        <f aca="false">IF(J12=0,0,IF('Cost Margin'!$M20&lt;&gt;"",'Cost Margin'!$M20*J12/'Cost Margin'!$L20,J12*Settings!$B$5*IF('Cost Margin'!$F20="",1,'Cost Margin'!$F20)))</f>
        <v>0</v>
      </c>
      <c r="K34" s="35" t="n">
        <f aca="false">IF(K12=0,0,IF('Cost Margin'!$M20&lt;&gt;"",'Cost Margin'!$M20*K12/'Cost Margin'!$L20,K12*Settings!$B$5*IF('Cost Margin'!$F20="",1,'Cost Margin'!$F20)))</f>
        <v>0</v>
      </c>
      <c r="L34" s="35" t="n">
        <f aca="false">IF(L12=0,0,IF('Cost Margin'!$M20&lt;&gt;"",'Cost Margin'!$M20*L12/'Cost Margin'!$L20,L12*Settings!$B$5*IF('Cost Margin'!$F20="",1,'Cost Margin'!$F20)))</f>
        <v>0</v>
      </c>
      <c r="M34" s="35" t="n">
        <f aca="false">IF(M12=0,0,IF('Cost Margin'!$M20&lt;&gt;"",'Cost Margin'!$M20*M12/'Cost Margin'!$L20,M12*Settings!$B$5*IF('Cost Margin'!$F20="",1,'Cost Margin'!$F20)))</f>
        <v>0</v>
      </c>
      <c r="N34" s="35" t="n">
        <f aca="false">IF(N12=0,0,IF('Cost Margin'!$M20&lt;&gt;"",'Cost Margin'!$M20*N12/'Cost Margin'!$L20,N12*Settings!$B$5*IF('Cost Margin'!$F20="",1,'Cost Margin'!$F20)))</f>
        <v>0</v>
      </c>
      <c r="O34" s="35" t="n">
        <f aca="false">IF(O12=0,0,IF('Cost Margin'!$M20&lt;&gt;"",'Cost Margin'!$M20*O12/'Cost Margin'!$L20,O12*Settings!$B$5*IF('Cost Margin'!$F20="",1,'Cost Margin'!$F20)))</f>
        <v>0</v>
      </c>
      <c r="P34" s="35" t="n">
        <f aca="false">IF(P12=0,0,IF('Cost Margin'!$M20&lt;&gt;"",'Cost Margin'!$M20*P12/'Cost Margin'!$L20,P12*Settings!$B$5*IF('Cost Margin'!$F20="",1,'Cost Margin'!$F20)))</f>
        <v>0</v>
      </c>
      <c r="Q34" s="35" t="n">
        <f aca="false">IF(Q12=0,0,IF('Cost Margin'!$M20&lt;&gt;"",'Cost Margin'!$M20*Q12/'Cost Margin'!$L20,Q12*Settings!$B$5*IF('Cost Margin'!$F20="",1,'Cost Margin'!$F20)))</f>
        <v>0</v>
      </c>
      <c r="R34" s="35" t="n">
        <f aca="false">IF(R12=0,0,IF('Cost Margin'!$M20&lt;&gt;"",'Cost Margin'!$M20*R12/'Cost Margin'!$L20,R12*Settings!$B$5*IF('Cost Margin'!$F20="",1,'Cost Margin'!$F20)))</f>
        <v>0</v>
      </c>
      <c r="S34" s="35" t="n">
        <f aca="false">IF(S12=0,0,IF('Cost Margin'!$M20&lt;&gt;"",'Cost Margin'!$M20*S12/'Cost Margin'!$L20,S12*Settings!$B$5*IF('Cost Margin'!$F20="",1,'Cost Margin'!$F20)))</f>
        <v>0</v>
      </c>
      <c r="T34" s="35" t="n">
        <f aca="false">IF(T12=0,0,IF('Cost Margin'!$M20&lt;&gt;"",'Cost Margin'!$M20*T12/'Cost Margin'!$L20,T12*Settings!$B$5*IF('Cost Margin'!$F20="",1,'Cost Margin'!$F20)))</f>
        <v>0</v>
      </c>
      <c r="U34" s="35" t="n">
        <f aca="false">IF(U12=0,0,IF('Cost Margin'!$M20&lt;&gt;"",'Cost Margin'!$M20*U12/'Cost Margin'!$L20,U12*Settings!$B$5*IF('Cost Margin'!$F20="",1,'Cost Margin'!$F20)))</f>
        <v>0</v>
      </c>
      <c r="V34" s="35" t="n">
        <f aca="false">IF(V12=0,0,IF('Cost Margin'!$M20&lt;&gt;"",'Cost Margin'!$M20*V12/'Cost Margin'!$L20,V12*Settings!$B$5*IF('Cost Margin'!$F20="",1,'Cost Margin'!$F20)))</f>
        <v>0</v>
      </c>
      <c r="W34" s="35" t="n">
        <f aca="false">IF(W12=0,0,IF('Cost Margin'!$M20&lt;&gt;"",'Cost Margin'!$M20*W12/'Cost Margin'!$L20,W12*Settings!$B$5*IF('Cost Margin'!$F20="",1,'Cost Margin'!$F20)))</f>
        <v>0</v>
      </c>
      <c r="X34" s="35" t="n">
        <f aca="false">IF(X12=0,0,IF('Cost Margin'!$M20&lt;&gt;"",'Cost Margin'!$M20*X12/'Cost Margin'!$L20,X12*Settings!$B$5*IF('Cost Margin'!$F20="",1,'Cost Margin'!$F20)))</f>
        <v>0</v>
      </c>
      <c r="Y34" s="35" t="n">
        <f aca="false">IF(Y12=0,0,IF('Cost Margin'!$M20&lt;&gt;"",'Cost Margin'!$M20*Y12/'Cost Margin'!$L20,Y12*Settings!$B$5*IF('Cost Margin'!$F20="",1,'Cost Margin'!$F20)))</f>
        <v>0</v>
      </c>
      <c r="Z34" s="35" t="n">
        <f aca="false">IF(Z12=0,0,IF('Cost Margin'!$M20&lt;&gt;"",'Cost Margin'!$M20*Z12/'Cost Margin'!$L20,Z12*Settings!$B$5*IF('Cost Margin'!$F20="",1,'Cost Margin'!$F20)))</f>
        <v>0</v>
      </c>
      <c r="AB34" s="34" t="str">
        <f aca="false">IF('Cost Margin'!A20="","",IF('Cost Margin'!E20="","(unassigned)",'Cost Margin'!E20))</f>
        <v/>
      </c>
    </row>
    <row r="35" customFormat="false" ht="15" hidden="false" customHeight="false" outlineLevel="0" collapsed="false">
      <c r="A35" s="0" t="n">
        <v>5</v>
      </c>
      <c r="B35" s="34" t="str">
        <f aca="false">IF('Cost Margin'!A21="","",'Cost Margin'!A21&amp;IF('Cost Margin'!E21="",""," · "&amp;'Cost Margin'!E21))</f>
        <v/>
      </c>
      <c r="C35" s="35" t="n">
        <f aca="false">IF(C13=0,0,IF('Cost Margin'!$M21&lt;&gt;"",'Cost Margin'!$M21*C13/'Cost Margin'!$L21,C13*Settings!$B$5*IF('Cost Margin'!$F21="",1,'Cost Margin'!$F21)))</f>
        <v>0</v>
      </c>
      <c r="D35" s="35" t="n">
        <f aca="false">IF(D13=0,0,IF('Cost Margin'!$M21&lt;&gt;"",'Cost Margin'!$M21*D13/'Cost Margin'!$L21,D13*Settings!$B$5*IF('Cost Margin'!$F21="",1,'Cost Margin'!$F21)))</f>
        <v>0</v>
      </c>
      <c r="E35" s="35" t="n">
        <f aca="false">IF(E13=0,0,IF('Cost Margin'!$M21&lt;&gt;"",'Cost Margin'!$M21*E13/'Cost Margin'!$L21,E13*Settings!$B$5*IF('Cost Margin'!$F21="",1,'Cost Margin'!$F21)))</f>
        <v>0</v>
      </c>
      <c r="F35" s="35" t="n">
        <f aca="false">IF(F13=0,0,IF('Cost Margin'!$M21&lt;&gt;"",'Cost Margin'!$M21*F13/'Cost Margin'!$L21,F13*Settings!$B$5*IF('Cost Margin'!$F21="",1,'Cost Margin'!$F21)))</f>
        <v>0</v>
      </c>
      <c r="G35" s="35" t="n">
        <f aca="false">IF(G13=0,0,IF('Cost Margin'!$M21&lt;&gt;"",'Cost Margin'!$M21*G13/'Cost Margin'!$L21,G13*Settings!$B$5*IF('Cost Margin'!$F21="",1,'Cost Margin'!$F21)))</f>
        <v>0</v>
      </c>
      <c r="H35" s="35" t="n">
        <f aca="false">IF(H13=0,0,IF('Cost Margin'!$M21&lt;&gt;"",'Cost Margin'!$M21*H13/'Cost Margin'!$L21,H13*Settings!$B$5*IF('Cost Margin'!$F21="",1,'Cost Margin'!$F21)))</f>
        <v>0</v>
      </c>
      <c r="I35" s="35" t="n">
        <f aca="false">IF(I13=0,0,IF('Cost Margin'!$M21&lt;&gt;"",'Cost Margin'!$M21*I13/'Cost Margin'!$L21,I13*Settings!$B$5*IF('Cost Margin'!$F21="",1,'Cost Margin'!$F21)))</f>
        <v>0</v>
      </c>
      <c r="J35" s="35" t="n">
        <f aca="false">IF(J13=0,0,IF('Cost Margin'!$M21&lt;&gt;"",'Cost Margin'!$M21*J13/'Cost Margin'!$L21,J13*Settings!$B$5*IF('Cost Margin'!$F21="",1,'Cost Margin'!$F21)))</f>
        <v>0</v>
      </c>
      <c r="K35" s="35" t="n">
        <f aca="false">IF(K13=0,0,IF('Cost Margin'!$M21&lt;&gt;"",'Cost Margin'!$M21*K13/'Cost Margin'!$L21,K13*Settings!$B$5*IF('Cost Margin'!$F21="",1,'Cost Margin'!$F21)))</f>
        <v>0</v>
      </c>
      <c r="L35" s="35" t="n">
        <f aca="false">IF(L13=0,0,IF('Cost Margin'!$M21&lt;&gt;"",'Cost Margin'!$M21*L13/'Cost Margin'!$L21,L13*Settings!$B$5*IF('Cost Margin'!$F21="",1,'Cost Margin'!$F21)))</f>
        <v>0</v>
      </c>
      <c r="M35" s="35" t="n">
        <f aca="false">IF(M13=0,0,IF('Cost Margin'!$M21&lt;&gt;"",'Cost Margin'!$M21*M13/'Cost Margin'!$L21,M13*Settings!$B$5*IF('Cost Margin'!$F21="",1,'Cost Margin'!$F21)))</f>
        <v>0</v>
      </c>
      <c r="N35" s="35" t="n">
        <f aca="false">IF(N13=0,0,IF('Cost Margin'!$M21&lt;&gt;"",'Cost Margin'!$M21*N13/'Cost Margin'!$L21,N13*Settings!$B$5*IF('Cost Margin'!$F21="",1,'Cost Margin'!$F21)))</f>
        <v>0</v>
      </c>
      <c r="O35" s="35" t="n">
        <f aca="false">IF(O13=0,0,IF('Cost Margin'!$M21&lt;&gt;"",'Cost Margin'!$M21*O13/'Cost Margin'!$L21,O13*Settings!$B$5*IF('Cost Margin'!$F21="",1,'Cost Margin'!$F21)))</f>
        <v>0</v>
      </c>
      <c r="P35" s="35" t="n">
        <f aca="false">IF(P13=0,0,IF('Cost Margin'!$M21&lt;&gt;"",'Cost Margin'!$M21*P13/'Cost Margin'!$L21,P13*Settings!$B$5*IF('Cost Margin'!$F21="",1,'Cost Margin'!$F21)))</f>
        <v>0</v>
      </c>
      <c r="Q35" s="35" t="n">
        <f aca="false">IF(Q13=0,0,IF('Cost Margin'!$M21&lt;&gt;"",'Cost Margin'!$M21*Q13/'Cost Margin'!$L21,Q13*Settings!$B$5*IF('Cost Margin'!$F21="",1,'Cost Margin'!$F21)))</f>
        <v>0</v>
      </c>
      <c r="R35" s="35" t="n">
        <f aca="false">IF(R13=0,0,IF('Cost Margin'!$M21&lt;&gt;"",'Cost Margin'!$M21*R13/'Cost Margin'!$L21,R13*Settings!$B$5*IF('Cost Margin'!$F21="",1,'Cost Margin'!$F21)))</f>
        <v>0</v>
      </c>
      <c r="S35" s="35" t="n">
        <f aca="false">IF(S13=0,0,IF('Cost Margin'!$M21&lt;&gt;"",'Cost Margin'!$M21*S13/'Cost Margin'!$L21,S13*Settings!$B$5*IF('Cost Margin'!$F21="",1,'Cost Margin'!$F21)))</f>
        <v>0</v>
      </c>
      <c r="T35" s="35" t="n">
        <f aca="false">IF(T13=0,0,IF('Cost Margin'!$M21&lt;&gt;"",'Cost Margin'!$M21*T13/'Cost Margin'!$L21,T13*Settings!$B$5*IF('Cost Margin'!$F21="",1,'Cost Margin'!$F21)))</f>
        <v>0</v>
      </c>
      <c r="U35" s="35" t="n">
        <f aca="false">IF(U13=0,0,IF('Cost Margin'!$M21&lt;&gt;"",'Cost Margin'!$M21*U13/'Cost Margin'!$L21,U13*Settings!$B$5*IF('Cost Margin'!$F21="",1,'Cost Margin'!$F21)))</f>
        <v>0</v>
      </c>
      <c r="V35" s="35" t="n">
        <f aca="false">IF(V13=0,0,IF('Cost Margin'!$M21&lt;&gt;"",'Cost Margin'!$M21*V13/'Cost Margin'!$L21,V13*Settings!$B$5*IF('Cost Margin'!$F21="",1,'Cost Margin'!$F21)))</f>
        <v>0</v>
      </c>
      <c r="W35" s="35" t="n">
        <f aca="false">IF(W13=0,0,IF('Cost Margin'!$M21&lt;&gt;"",'Cost Margin'!$M21*W13/'Cost Margin'!$L21,W13*Settings!$B$5*IF('Cost Margin'!$F21="",1,'Cost Margin'!$F21)))</f>
        <v>0</v>
      </c>
      <c r="X35" s="35" t="n">
        <f aca="false">IF(X13=0,0,IF('Cost Margin'!$M21&lt;&gt;"",'Cost Margin'!$M21*X13/'Cost Margin'!$L21,X13*Settings!$B$5*IF('Cost Margin'!$F21="",1,'Cost Margin'!$F21)))</f>
        <v>0</v>
      </c>
      <c r="Y35" s="35" t="n">
        <f aca="false">IF(Y13=0,0,IF('Cost Margin'!$M21&lt;&gt;"",'Cost Margin'!$M21*Y13/'Cost Margin'!$L21,Y13*Settings!$B$5*IF('Cost Margin'!$F21="",1,'Cost Margin'!$F21)))</f>
        <v>0</v>
      </c>
      <c r="Z35" s="35" t="n">
        <f aca="false">IF(Z13=0,0,IF('Cost Margin'!$M21&lt;&gt;"",'Cost Margin'!$M21*Z13/'Cost Margin'!$L21,Z13*Settings!$B$5*IF('Cost Margin'!$F21="",1,'Cost Margin'!$F21)))</f>
        <v>0</v>
      </c>
      <c r="AB35" s="34" t="str">
        <f aca="false">IF('Cost Margin'!A21="","",IF('Cost Margin'!E21="","(unassigned)",'Cost Margin'!E21))</f>
        <v/>
      </c>
    </row>
    <row r="36" customFormat="false" ht="15" hidden="false" customHeight="false" outlineLevel="0" collapsed="false">
      <c r="A36" s="0" t="n">
        <v>6</v>
      </c>
      <c r="B36" s="34" t="str">
        <f aca="false">IF('Cost Margin'!A22="","",'Cost Margin'!A22&amp;IF('Cost Margin'!E22="",""," · "&amp;'Cost Margin'!E22))</f>
        <v/>
      </c>
      <c r="C36" s="35" t="n">
        <f aca="false">IF(C14=0,0,IF('Cost Margin'!$M22&lt;&gt;"",'Cost Margin'!$M22*C14/'Cost Margin'!$L22,C14*Settings!$B$5*IF('Cost Margin'!$F22="",1,'Cost Margin'!$F22)))</f>
        <v>0</v>
      </c>
      <c r="D36" s="35" t="n">
        <f aca="false">IF(D14=0,0,IF('Cost Margin'!$M22&lt;&gt;"",'Cost Margin'!$M22*D14/'Cost Margin'!$L22,D14*Settings!$B$5*IF('Cost Margin'!$F22="",1,'Cost Margin'!$F22)))</f>
        <v>0</v>
      </c>
      <c r="E36" s="35" t="n">
        <f aca="false">IF(E14=0,0,IF('Cost Margin'!$M22&lt;&gt;"",'Cost Margin'!$M22*E14/'Cost Margin'!$L22,E14*Settings!$B$5*IF('Cost Margin'!$F22="",1,'Cost Margin'!$F22)))</f>
        <v>0</v>
      </c>
      <c r="F36" s="35" t="n">
        <f aca="false">IF(F14=0,0,IF('Cost Margin'!$M22&lt;&gt;"",'Cost Margin'!$M22*F14/'Cost Margin'!$L22,F14*Settings!$B$5*IF('Cost Margin'!$F22="",1,'Cost Margin'!$F22)))</f>
        <v>0</v>
      </c>
      <c r="G36" s="35" t="n">
        <f aca="false">IF(G14=0,0,IF('Cost Margin'!$M22&lt;&gt;"",'Cost Margin'!$M22*G14/'Cost Margin'!$L22,G14*Settings!$B$5*IF('Cost Margin'!$F22="",1,'Cost Margin'!$F22)))</f>
        <v>0</v>
      </c>
      <c r="H36" s="35" t="n">
        <f aca="false">IF(H14=0,0,IF('Cost Margin'!$M22&lt;&gt;"",'Cost Margin'!$M22*H14/'Cost Margin'!$L22,H14*Settings!$B$5*IF('Cost Margin'!$F22="",1,'Cost Margin'!$F22)))</f>
        <v>0</v>
      </c>
      <c r="I36" s="35" t="n">
        <f aca="false">IF(I14=0,0,IF('Cost Margin'!$M22&lt;&gt;"",'Cost Margin'!$M22*I14/'Cost Margin'!$L22,I14*Settings!$B$5*IF('Cost Margin'!$F22="",1,'Cost Margin'!$F22)))</f>
        <v>0</v>
      </c>
      <c r="J36" s="35" t="n">
        <f aca="false">IF(J14=0,0,IF('Cost Margin'!$M22&lt;&gt;"",'Cost Margin'!$M22*J14/'Cost Margin'!$L22,J14*Settings!$B$5*IF('Cost Margin'!$F22="",1,'Cost Margin'!$F22)))</f>
        <v>0</v>
      </c>
      <c r="K36" s="35" t="n">
        <f aca="false">IF(K14=0,0,IF('Cost Margin'!$M22&lt;&gt;"",'Cost Margin'!$M22*K14/'Cost Margin'!$L22,K14*Settings!$B$5*IF('Cost Margin'!$F22="",1,'Cost Margin'!$F22)))</f>
        <v>0</v>
      </c>
      <c r="L36" s="35" t="n">
        <f aca="false">IF(L14=0,0,IF('Cost Margin'!$M22&lt;&gt;"",'Cost Margin'!$M22*L14/'Cost Margin'!$L22,L14*Settings!$B$5*IF('Cost Margin'!$F22="",1,'Cost Margin'!$F22)))</f>
        <v>0</v>
      </c>
      <c r="M36" s="35" t="n">
        <f aca="false">IF(M14=0,0,IF('Cost Margin'!$M22&lt;&gt;"",'Cost Margin'!$M22*M14/'Cost Margin'!$L22,M14*Settings!$B$5*IF('Cost Margin'!$F22="",1,'Cost Margin'!$F22)))</f>
        <v>0</v>
      </c>
      <c r="N36" s="35" t="n">
        <f aca="false">IF(N14=0,0,IF('Cost Margin'!$M22&lt;&gt;"",'Cost Margin'!$M22*N14/'Cost Margin'!$L22,N14*Settings!$B$5*IF('Cost Margin'!$F22="",1,'Cost Margin'!$F22)))</f>
        <v>0</v>
      </c>
      <c r="O36" s="35" t="n">
        <f aca="false">IF(O14=0,0,IF('Cost Margin'!$M22&lt;&gt;"",'Cost Margin'!$M22*O14/'Cost Margin'!$L22,O14*Settings!$B$5*IF('Cost Margin'!$F22="",1,'Cost Margin'!$F22)))</f>
        <v>0</v>
      </c>
      <c r="P36" s="35" t="n">
        <f aca="false">IF(P14=0,0,IF('Cost Margin'!$M22&lt;&gt;"",'Cost Margin'!$M22*P14/'Cost Margin'!$L22,P14*Settings!$B$5*IF('Cost Margin'!$F22="",1,'Cost Margin'!$F22)))</f>
        <v>0</v>
      </c>
      <c r="Q36" s="35" t="n">
        <f aca="false">IF(Q14=0,0,IF('Cost Margin'!$M22&lt;&gt;"",'Cost Margin'!$M22*Q14/'Cost Margin'!$L22,Q14*Settings!$B$5*IF('Cost Margin'!$F22="",1,'Cost Margin'!$F22)))</f>
        <v>0</v>
      </c>
      <c r="R36" s="35" t="n">
        <f aca="false">IF(R14=0,0,IF('Cost Margin'!$M22&lt;&gt;"",'Cost Margin'!$M22*R14/'Cost Margin'!$L22,R14*Settings!$B$5*IF('Cost Margin'!$F22="",1,'Cost Margin'!$F22)))</f>
        <v>0</v>
      </c>
      <c r="S36" s="35" t="n">
        <f aca="false">IF(S14=0,0,IF('Cost Margin'!$M22&lt;&gt;"",'Cost Margin'!$M22*S14/'Cost Margin'!$L22,S14*Settings!$B$5*IF('Cost Margin'!$F22="",1,'Cost Margin'!$F22)))</f>
        <v>0</v>
      </c>
      <c r="T36" s="35" t="n">
        <f aca="false">IF(T14=0,0,IF('Cost Margin'!$M22&lt;&gt;"",'Cost Margin'!$M22*T14/'Cost Margin'!$L22,T14*Settings!$B$5*IF('Cost Margin'!$F22="",1,'Cost Margin'!$F22)))</f>
        <v>0</v>
      </c>
      <c r="U36" s="35" t="n">
        <f aca="false">IF(U14=0,0,IF('Cost Margin'!$M22&lt;&gt;"",'Cost Margin'!$M22*U14/'Cost Margin'!$L22,U14*Settings!$B$5*IF('Cost Margin'!$F22="",1,'Cost Margin'!$F22)))</f>
        <v>0</v>
      </c>
      <c r="V36" s="35" t="n">
        <f aca="false">IF(V14=0,0,IF('Cost Margin'!$M22&lt;&gt;"",'Cost Margin'!$M22*V14/'Cost Margin'!$L22,V14*Settings!$B$5*IF('Cost Margin'!$F22="",1,'Cost Margin'!$F22)))</f>
        <v>0</v>
      </c>
      <c r="W36" s="35" t="n">
        <f aca="false">IF(W14=0,0,IF('Cost Margin'!$M22&lt;&gt;"",'Cost Margin'!$M22*W14/'Cost Margin'!$L22,W14*Settings!$B$5*IF('Cost Margin'!$F22="",1,'Cost Margin'!$F22)))</f>
        <v>0</v>
      </c>
      <c r="X36" s="35" t="n">
        <f aca="false">IF(X14=0,0,IF('Cost Margin'!$M22&lt;&gt;"",'Cost Margin'!$M22*X14/'Cost Margin'!$L22,X14*Settings!$B$5*IF('Cost Margin'!$F22="",1,'Cost Margin'!$F22)))</f>
        <v>0</v>
      </c>
      <c r="Y36" s="35" t="n">
        <f aca="false">IF(Y14=0,0,IF('Cost Margin'!$M22&lt;&gt;"",'Cost Margin'!$M22*Y14/'Cost Margin'!$L22,Y14*Settings!$B$5*IF('Cost Margin'!$F22="",1,'Cost Margin'!$F22)))</f>
        <v>0</v>
      </c>
      <c r="Z36" s="35" t="n">
        <f aca="false">IF(Z14=0,0,IF('Cost Margin'!$M22&lt;&gt;"",'Cost Margin'!$M22*Z14/'Cost Margin'!$L22,Z14*Settings!$B$5*IF('Cost Margin'!$F22="",1,'Cost Margin'!$F22)))</f>
        <v>0</v>
      </c>
      <c r="AB36" s="34" t="str">
        <f aca="false">IF('Cost Margin'!A22="","",IF('Cost Margin'!E22="","(unassigned)",'Cost Margin'!E22))</f>
        <v/>
      </c>
    </row>
    <row r="37" customFormat="false" ht="15" hidden="false" customHeight="false" outlineLevel="0" collapsed="false">
      <c r="A37" s="0" t="n">
        <v>7</v>
      </c>
      <c r="B37" s="34" t="str">
        <f aca="false">IF('Cost Margin'!A23="","",'Cost Margin'!A23&amp;IF('Cost Margin'!E23="",""," · "&amp;'Cost Margin'!E23))</f>
        <v/>
      </c>
      <c r="C37" s="35" t="n">
        <f aca="false">IF(C15=0,0,IF('Cost Margin'!$M23&lt;&gt;"",'Cost Margin'!$M23*C15/'Cost Margin'!$L23,C15*Settings!$B$5*IF('Cost Margin'!$F23="",1,'Cost Margin'!$F23)))</f>
        <v>0</v>
      </c>
      <c r="D37" s="35" t="n">
        <f aca="false">IF(D15=0,0,IF('Cost Margin'!$M23&lt;&gt;"",'Cost Margin'!$M23*D15/'Cost Margin'!$L23,D15*Settings!$B$5*IF('Cost Margin'!$F23="",1,'Cost Margin'!$F23)))</f>
        <v>0</v>
      </c>
      <c r="E37" s="35" t="n">
        <f aca="false">IF(E15=0,0,IF('Cost Margin'!$M23&lt;&gt;"",'Cost Margin'!$M23*E15/'Cost Margin'!$L23,E15*Settings!$B$5*IF('Cost Margin'!$F23="",1,'Cost Margin'!$F23)))</f>
        <v>0</v>
      </c>
      <c r="F37" s="35" t="n">
        <f aca="false">IF(F15=0,0,IF('Cost Margin'!$M23&lt;&gt;"",'Cost Margin'!$M23*F15/'Cost Margin'!$L23,F15*Settings!$B$5*IF('Cost Margin'!$F23="",1,'Cost Margin'!$F23)))</f>
        <v>0</v>
      </c>
      <c r="G37" s="35" t="n">
        <f aca="false">IF(G15=0,0,IF('Cost Margin'!$M23&lt;&gt;"",'Cost Margin'!$M23*G15/'Cost Margin'!$L23,G15*Settings!$B$5*IF('Cost Margin'!$F23="",1,'Cost Margin'!$F23)))</f>
        <v>0</v>
      </c>
      <c r="H37" s="35" t="n">
        <f aca="false">IF(H15=0,0,IF('Cost Margin'!$M23&lt;&gt;"",'Cost Margin'!$M23*H15/'Cost Margin'!$L23,H15*Settings!$B$5*IF('Cost Margin'!$F23="",1,'Cost Margin'!$F23)))</f>
        <v>0</v>
      </c>
      <c r="I37" s="35" t="n">
        <f aca="false">IF(I15=0,0,IF('Cost Margin'!$M23&lt;&gt;"",'Cost Margin'!$M23*I15/'Cost Margin'!$L23,I15*Settings!$B$5*IF('Cost Margin'!$F23="",1,'Cost Margin'!$F23)))</f>
        <v>0</v>
      </c>
      <c r="J37" s="35" t="n">
        <f aca="false">IF(J15=0,0,IF('Cost Margin'!$M23&lt;&gt;"",'Cost Margin'!$M23*J15/'Cost Margin'!$L23,J15*Settings!$B$5*IF('Cost Margin'!$F23="",1,'Cost Margin'!$F23)))</f>
        <v>0</v>
      </c>
      <c r="K37" s="35" t="n">
        <f aca="false">IF(K15=0,0,IF('Cost Margin'!$M23&lt;&gt;"",'Cost Margin'!$M23*K15/'Cost Margin'!$L23,K15*Settings!$B$5*IF('Cost Margin'!$F23="",1,'Cost Margin'!$F23)))</f>
        <v>0</v>
      </c>
      <c r="L37" s="35" t="n">
        <f aca="false">IF(L15=0,0,IF('Cost Margin'!$M23&lt;&gt;"",'Cost Margin'!$M23*L15/'Cost Margin'!$L23,L15*Settings!$B$5*IF('Cost Margin'!$F23="",1,'Cost Margin'!$F23)))</f>
        <v>0</v>
      </c>
      <c r="M37" s="35" t="n">
        <f aca="false">IF(M15=0,0,IF('Cost Margin'!$M23&lt;&gt;"",'Cost Margin'!$M23*M15/'Cost Margin'!$L23,M15*Settings!$B$5*IF('Cost Margin'!$F23="",1,'Cost Margin'!$F23)))</f>
        <v>0</v>
      </c>
      <c r="N37" s="35" t="n">
        <f aca="false">IF(N15=0,0,IF('Cost Margin'!$M23&lt;&gt;"",'Cost Margin'!$M23*N15/'Cost Margin'!$L23,N15*Settings!$B$5*IF('Cost Margin'!$F23="",1,'Cost Margin'!$F23)))</f>
        <v>0</v>
      </c>
      <c r="O37" s="35" t="n">
        <f aca="false">IF(O15=0,0,IF('Cost Margin'!$M23&lt;&gt;"",'Cost Margin'!$M23*O15/'Cost Margin'!$L23,O15*Settings!$B$5*IF('Cost Margin'!$F23="",1,'Cost Margin'!$F23)))</f>
        <v>0</v>
      </c>
      <c r="P37" s="35" t="n">
        <f aca="false">IF(P15=0,0,IF('Cost Margin'!$M23&lt;&gt;"",'Cost Margin'!$M23*P15/'Cost Margin'!$L23,P15*Settings!$B$5*IF('Cost Margin'!$F23="",1,'Cost Margin'!$F23)))</f>
        <v>0</v>
      </c>
      <c r="Q37" s="35" t="n">
        <f aca="false">IF(Q15=0,0,IF('Cost Margin'!$M23&lt;&gt;"",'Cost Margin'!$M23*Q15/'Cost Margin'!$L23,Q15*Settings!$B$5*IF('Cost Margin'!$F23="",1,'Cost Margin'!$F23)))</f>
        <v>0</v>
      </c>
      <c r="R37" s="35" t="n">
        <f aca="false">IF(R15=0,0,IF('Cost Margin'!$M23&lt;&gt;"",'Cost Margin'!$M23*R15/'Cost Margin'!$L23,R15*Settings!$B$5*IF('Cost Margin'!$F23="",1,'Cost Margin'!$F23)))</f>
        <v>0</v>
      </c>
      <c r="S37" s="35" t="n">
        <f aca="false">IF(S15=0,0,IF('Cost Margin'!$M23&lt;&gt;"",'Cost Margin'!$M23*S15/'Cost Margin'!$L23,S15*Settings!$B$5*IF('Cost Margin'!$F23="",1,'Cost Margin'!$F23)))</f>
        <v>0</v>
      </c>
      <c r="T37" s="35" t="n">
        <f aca="false">IF(T15=0,0,IF('Cost Margin'!$M23&lt;&gt;"",'Cost Margin'!$M23*T15/'Cost Margin'!$L23,T15*Settings!$B$5*IF('Cost Margin'!$F23="",1,'Cost Margin'!$F23)))</f>
        <v>0</v>
      </c>
      <c r="U37" s="35" t="n">
        <f aca="false">IF(U15=0,0,IF('Cost Margin'!$M23&lt;&gt;"",'Cost Margin'!$M23*U15/'Cost Margin'!$L23,U15*Settings!$B$5*IF('Cost Margin'!$F23="",1,'Cost Margin'!$F23)))</f>
        <v>0</v>
      </c>
      <c r="V37" s="35" t="n">
        <f aca="false">IF(V15=0,0,IF('Cost Margin'!$M23&lt;&gt;"",'Cost Margin'!$M23*V15/'Cost Margin'!$L23,V15*Settings!$B$5*IF('Cost Margin'!$F23="",1,'Cost Margin'!$F23)))</f>
        <v>0</v>
      </c>
      <c r="W37" s="35" t="n">
        <f aca="false">IF(W15=0,0,IF('Cost Margin'!$M23&lt;&gt;"",'Cost Margin'!$M23*W15/'Cost Margin'!$L23,W15*Settings!$B$5*IF('Cost Margin'!$F23="",1,'Cost Margin'!$F23)))</f>
        <v>0</v>
      </c>
      <c r="X37" s="35" t="n">
        <f aca="false">IF(X15=0,0,IF('Cost Margin'!$M23&lt;&gt;"",'Cost Margin'!$M23*X15/'Cost Margin'!$L23,X15*Settings!$B$5*IF('Cost Margin'!$F23="",1,'Cost Margin'!$F23)))</f>
        <v>0</v>
      </c>
      <c r="Y37" s="35" t="n">
        <f aca="false">IF(Y15=0,0,IF('Cost Margin'!$M23&lt;&gt;"",'Cost Margin'!$M23*Y15/'Cost Margin'!$L23,Y15*Settings!$B$5*IF('Cost Margin'!$F23="",1,'Cost Margin'!$F23)))</f>
        <v>0</v>
      </c>
      <c r="Z37" s="35" t="n">
        <f aca="false">IF(Z15=0,0,IF('Cost Margin'!$M23&lt;&gt;"",'Cost Margin'!$M23*Z15/'Cost Margin'!$L23,Z15*Settings!$B$5*IF('Cost Margin'!$F23="",1,'Cost Margin'!$F23)))</f>
        <v>0</v>
      </c>
      <c r="AB37" s="34" t="str">
        <f aca="false">IF('Cost Margin'!A23="","",IF('Cost Margin'!E23="","(unassigned)",'Cost Margin'!E23))</f>
        <v/>
      </c>
    </row>
    <row r="38" customFormat="false" ht="15" hidden="false" customHeight="false" outlineLevel="0" collapsed="false">
      <c r="A38" s="0" t="n">
        <v>8</v>
      </c>
      <c r="B38" s="34" t="str">
        <f aca="false">IF('Cost Margin'!A24="","",'Cost Margin'!A24&amp;IF('Cost Margin'!E24="",""," · "&amp;'Cost Margin'!E24))</f>
        <v/>
      </c>
      <c r="C38" s="35" t="n">
        <f aca="false">IF(C16=0,0,IF('Cost Margin'!$M24&lt;&gt;"",'Cost Margin'!$M24*C16/'Cost Margin'!$L24,C16*Settings!$B$5*IF('Cost Margin'!$F24="",1,'Cost Margin'!$F24)))</f>
        <v>0</v>
      </c>
      <c r="D38" s="35" t="n">
        <f aca="false">IF(D16=0,0,IF('Cost Margin'!$M24&lt;&gt;"",'Cost Margin'!$M24*D16/'Cost Margin'!$L24,D16*Settings!$B$5*IF('Cost Margin'!$F24="",1,'Cost Margin'!$F24)))</f>
        <v>0</v>
      </c>
      <c r="E38" s="35" t="n">
        <f aca="false">IF(E16=0,0,IF('Cost Margin'!$M24&lt;&gt;"",'Cost Margin'!$M24*E16/'Cost Margin'!$L24,E16*Settings!$B$5*IF('Cost Margin'!$F24="",1,'Cost Margin'!$F24)))</f>
        <v>0</v>
      </c>
      <c r="F38" s="35" t="n">
        <f aca="false">IF(F16=0,0,IF('Cost Margin'!$M24&lt;&gt;"",'Cost Margin'!$M24*F16/'Cost Margin'!$L24,F16*Settings!$B$5*IF('Cost Margin'!$F24="",1,'Cost Margin'!$F24)))</f>
        <v>0</v>
      </c>
      <c r="G38" s="35" t="n">
        <f aca="false">IF(G16=0,0,IF('Cost Margin'!$M24&lt;&gt;"",'Cost Margin'!$M24*G16/'Cost Margin'!$L24,G16*Settings!$B$5*IF('Cost Margin'!$F24="",1,'Cost Margin'!$F24)))</f>
        <v>0</v>
      </c>
      <c r="H38" s="35" t="n">
        <f aca="false">IF(H16=0,0,IF('Cost Margin'!$M24&lt;&gt;"",'Cost Margin'!$M24*H16/'Cost Margin'!$L24,H16*Settings!$B$5*IF('Cost Margin'!$F24="",1,'Cost Margin'!$F24)))</f>
        <v>0</v>
      </c>
      <c r="I38" s="35" t="n">
        <f aca="false">IF(I16=0,0,IF('Cost Margin'!$M24&lt;&gt;"",'Cost Margin'!$M24*I16/'Cost Margin'!$L24,I16*Settings!$B$5*IF('Cost Margin'!$F24="",1,'Cost Margin'!$F24)))</f>
        <v>0</v>
      </c>
      <c r="J38" s="35" t="n">
        <f aca="false">IF(J16=0,0,IF('Cost Margin'!$M24&lt;&gt;"",'Cost Margin'!$M24*J16/'Cost Margin'!$L24,J16*Settings!$B$5*IF('Cost Margin'!$F24="",1,'Cost Margin'!$F24)))</f>
        <v>0</v>
      </c>
      <c r="K38" s="35" t="n">
        <f aca="false">IF(K16=0,0,IF('Cost Margin'!$M24&lt;&gt;"",'Cost Margin'!$M24*K16/'Cost Margin'!$L24,K16*Settings!$B$5*IF('Cost Margin'!$F24="",1,'Cost Margin'!$F24)))</f>
        <v>0</v>
      </c>
      <c r="L38" s="35" t="n">
        <f aca="false">IF(L16=0,0,IF('Cost Margin'!$M24&lt;&gt;"",'Cost Margin'!$M24*L16/'Cost Margin'!$L24,L16*Settings!$B$5*IF('Cost Margin'!$F24="",1,'Cost Margin'!$F24)))</f>
        <v>0</v>
      </c>
      <c r="M38" s="35" t="n">
        <f aca="false">IF(M16=0,0,IF('Cost Margin'!$M24&lt;&gt;"",'Cost Margin'!$M24*M16/'Cost Margin'!$L24,M16*Settings!$B$5*IF('Cost Margin'!$F24="",1,'Cost Margin'!$F24)))</f>
        <v>0</v>
      </c>
      <c r="N38" s="35" t="n">
        <f aca="false">IF(N16=0,0,IF('Cost Margin'!$M24&lt;&gt;"",'Cost Margin'!$M24*N16/'Cost Margin'!$L24,N16*Settings!$B$5*IF('Cost Margin'!$F24="",1,'Cost Margin'!$F24)))</f>
        <v>0</v>
      </c>
      <c r="O38" s="35" t="n">
        <f aca="false">IF(O16=0,0,IF('Cost Margin'!$M24&lt;&gt;"",'Cost Margin'!$M24*O16/'Cost Margin'!$L24,O16*Settings!$B$5*IF('Cost Margin'!$F24="",1,'Cost Margin'!$F24)))</f>
        <v>0</v>
      </c>
      <c r="P38" s="35" t="n">
        <f aca="false">IF(P16=0,0,IF('Cost Margin'!$M24&lt;&gt;"",'Cost Margin'!$M24*P16/'Cost Margin'!$L24,P16*Settings!$B$5*IF('Cost Margin'!$F24="",1,'Cost Margin'!$F24)))</f>
        <v>0</v>
      </c>
      <c r="Q38" s="35" t="n">
        <f aca="false">IF(Q16=0,0,IF('Cost Margin'!$M24&lt;&gt;"",'Cost Margin'!$M24*Q16/'Cost Margin'!$L24,Q16*Settings!$B$5*IF('Cost Margin'!$F24="",1,'Cost Margin'!$F24)))</f>
        <v>0</v>
      </c>
      <c r="R38" s="35" t="n">
        <f aca="false">IF(R16=0,0,IF('Cost Margin'!$M24&lt;&gt;"",'Cost Margin'!$M24*R16/'Cost Margin'!$L24,R16*Settings!$B$5*IF('Cost Margin'!$F24="",1,'Cost Margin'!$F24)))</f>
        <v>0</v>
      </c>
      <c r="S38" s="35" t="n">
        <f aca="false">IF(S16=0,0,IF('Cost Margin'!$M24&lt;&gt;"",'Cost Margin'!$M24*S16/'Cost Margin'!$L24,S16*Settings!$B$5*IF('Cost Margin'!$F24="",1,'Cost Margin'!$F24)))</f>
        <v>0</v>
      </c>
      <c r="T38" s="35" t="n">
        <f aca="false">IF(T16=0,0,IF('Cost Margin'!$M24&lt;&gt;"",'Cost Margin'!$M24*T16/'Cost Margin'!$L24,T16*Settings!$B$5*IF('Cost Margin'!$F24="",1,'Cost Margin'!$F24)))</f>
        <v>0</v>
      </c>
      <c r="U38" s="35" t="n">
        <f aca="false">IF(U16=0,0,IF('Cost Margin'!$M24&lt;&gt;"",'Cost Margin'!$M24*U16/'Cost Margin'!$L24,U16*Settings!$B$5*IF('Cost Margin'!$F24="",1,'Cost Margin'!$F24)))</f>
        <v>0</v>
      </c>
      <c r="V38" s="35" t="n">
        <f aca="false">IF(V16=0,0,IF('Cost Margin'!$M24&lt;&gt;"",'Cost Margin'!$M24*V16/'Cost Margin'!$L24,V16*Settings!$B$5*IF('Cost Margin'!$F24="",1,'Cost Margin'!$F24)))</f>
        <v>0</v>
      </c>
      <c r="W38" s="35" t="n">
        <f aca="false">IF(W16=0,0,IF('Cost Margin'!$M24&lt;&gt;"",'Cost Margin'!$M24*W16/'Cost Margin'!$L24,W16*Settings!$B$5*IF('Cost Margin'!$F24="",1,'Cost Margin'!$F24)))</f>
        <v>0</v>
      </c>
      <c r="X38" s="35" t="n">
        <f aca="false">IF(X16=0,0,IF('Cost Margin'!$M24&lt;&gt;"",'Cost Margin'!$M24*X16/'Cost Margin'!$L24,X16*Settings!$B$5*IF('Cost Margin'!$F24="",1,'Cost Margin'!$F24)))</f>
        <v>0</v>
      </c>
      <c r="Y38" s="35" t="n">
        <f aca="false">IF(Y16=0,0,IF('Cost Margin'!$M24&lt;&gt;"",'Cost Margin'!$M24*Y16/'Cost Margin'!$L24,Y16*Settings!$B$5*IF('Cost Margin'!$F24="",1,'Cost Margin'!$F24)))</f>
        <v>0</v>
      </c>
      <c r="Z38" s="35" t="n">
        <f aca="false">IF(Z16=0,0,IF('Cost Margin'!$M24&lt;&gt;"",'Cost Margin'!$M24*Z16/'Cost Margin'!$L24,Z16*Settings!$B$5*IF('Cost Margin'!$F24="",1,'Cost Margin'!$F24)))</f>
        <v>0</v>
      </c>
      <c r="AB38" s="34" t="str">
        <f aca="false">IF('Cost Margin'!A24="","",IF('Cost Margin'!E24="","(unassigned)",'Cost Margin'!E24))</f>
        <v/>
      </c>
    </row>
    <row r="39" customFormat="false" ht="15" hidden="false" customHeight="false" outlineLevel="0" collapsed="false">
      <c r="A39" s="0" t="n">
        <v>9</v>
      </c>
      <c r="B39" s="34" t="str">
        <f aca="false">IF('Cost Margin'!A25="","",'Cost Margin'!A25&amp;IF('Cost Margin'!E25="",""," · "&amp;'Cost Margin'!E25))</f>
        <v/>
      </c>
      <c r="C39" s="35" t="n">
        <f aca="false">IF(C17=0,0,IF('Cost Margin'!$M25&lt;&gt;"",'Cost Margin'!$M25*C17/'Cost Margin'!$L25,C17*Settings!$B$5*IF('Cost Margin'!$F25="",1,'Cost Margin'!$F25)))</f>
        <v>0</v>
      </c>
      <c r="D39" s="35" t="n">
        <f aca="false">IF(D17=0,0,IF('Cost Margin'!$M25&lt;&gt;"",'Cost Margin'!$M25*D17/'Cost Margin'!$L25,D17*Settings!$B$5*IF('Cost Margin'!$F25="",1,'Cost Margin'!$F25)))</f>
        <v>0</v>
      </c>
      <c r="E39" s="35" t="n">
        <f aca="false">IF(E17=0,0,IF('Cost Margin'!$M25&lt;&gt;"",'Cost Margin'!$M25*E17/'Cost Margin'!$L25,E17*Settings!$B$5*IF('Cost Margin'!$F25="",1,'Cost Margin'!$F25)))</f>
        <v>0</v>
      </c>
      <c r="F39" s="35" t="n">
        <f aca="false">IF(F17=0,0,IF('Cost Margin'!$M25&lt;&gt;"",'Cost Margin'!$M25*F17/'Cost Margin'!$L25,F17*Settings!$B$5*IF('Cost Margin'!$F25="",1,'Cost Margin'!$F25)))</f>
        <v>0</v>
      </c>
      <c r="G39" s="35" t="n">
        <f aca="false">IF(G17=0,0,IF('Cost Margin'!$M25&lt;&gt;"",'Cost Margin'!$M25*G17/'Cost Margin'!$L25,G17*Settings!$B$5*IF('Cost Margin'!$F25="",1,'Cost Margin'!$F25)))</f>
        <v>0</v>
      </c>
      <c r="H39" s="35" t="n">
        <f aca="false">IF(H17=0,0,IF('Cost Margin'!$M25&lt;&gt;"",'Cost Margin'!$M25*H17/'Cost Margin'!$L25,H17*Settings!$B$5*IF('Cost Margin'!$F25="",1,'Cost Margin'!$F25)))</f>
        <v>0</v>
      </c>
      <c r="I39" s="35" t="n">
        <f aca="false">IF(I17=0,0,IF('Cost Margin'!$M25&lt;&gt;"",'Cost Margin'!$M25*I17/'Cost Margin'!$L25,I17*Settings!$B$5*IF('Cost Margin'!$F25="",1,'Cost Margin'!$F25)))</f>
        <v>0</v>
      </c>
      <c r="J39" s="35" t="n">
        <f aca="false">IF(J17=0,0,IF('Cost Margin'!$M25&lt;&gt;"",'Cost Margin'!$M25*J17/'Cost Margin'!$L25,J17*Settings!$B$5*IF('Cost Margin'!$F25="",1,'Cost Margin'!$F25)))</f>
        <v>0</v>
      </c>
      <c r="K39" s="35" t="n">
        <f aca="false">IF(K17=0,0,IF('Cost Margin'!$M25&lt;&gt;"",'Cost Margin'!$M25*K17/'Cost Margin'!$L25,K17*Settings!$B$5*IF('Cost Margin'!$F25="",1,'Cost Margin'!$F25)))</f>
        <v>0</v>
      </c>
      <c r="L39" s="35" t="n">
        <f aca="false">IF(L17=0,0,IF('Cost Margin'!$M25&lt;&gt;"",'Cost Margin'!$M25*L17/'Cost Margin'!$L25,L17*Settings!$B$5*IF('Cost Margin'!$F25="",1,'Cost Margin'!$F25)))</f>
        <v>0</v>
      </c>
      <c r="M39" s="35" t="n">
        <f aca="false">IF(M17=0,0,IF('Cost Margin'!$M25&lt;&gt;"",'Cost Margin'!$M25*M17/'Cost Margin'!$L25,M17*Settings!$B$5*IF('Cost Margin'!$F25="",1,'Cost Margin'!$F25)))</f>
        <v>0</v>
      </c>
      <c r="N39" s="35" t="n">
        <f aca="false">IF(N17=0,0,IF('Cost Margin'!$M25&lt;&gt;"",'Cost Margin'!$M25*N17/'Cost Margin'!$L25,N17*Settings!$B$5*IF('Cost Margin'!$F25="",1,'Cost Margin'!$F25)))</f>
        <v>0</v>
      </c>
      <c r="O39" s="35" t="n">
        <f aca="false">IF(O17=0,0,IF('Cost Margin'!$M25&lt;&gt;"",'Cost Margin'!$M25*O17/'Cost Margin'!$L25,O17*Settings!$B$5*IF('Cost Margin'!$F25="",1,'Cost Margin'!$F25)))</f>
        <v>0</v>
      </c>
      <c r="P39" s="35" t="n">
        <f aca="false">IF(P17=0,0,IF('Cost Margin'!$M25&lt;&gt;"",'Cost Margin'!$M25*P17/'Cost Margin'!$L25,P17*Settings!$B$5*IF('Cost Margin'!$F25="",1,'Cost Margin'!$F25)))</f>
        <v>0</v>
      </c>
      <c r="Q39" s="35" t="n">
        <f aca="false">IF(Q17=0,0,IF('Cost Margin'!$M25&lt;&gt;"",'Cost Margin'!$M25*Q17/'Cost Margin'!$L25,Q17*Settings!$B$5*IF('Cost Margin'!$F25="",1,'Cost Margin'!$F25)))</f>
        <v>0</v>
      </c>
      <c r="R39" s="35" t="n">
        <f aca="false">IF(R17=0,0,IF('Cost Margin'!$M25&lt;&gt;"",'Cost Margin'!$M25*R17/'Cost Margin'!$L25,R17*Settings!$B$5*IF('Cost Margin'!$F25="",1,'Cost Margin'!$F25)))</f>
        <v>0</v>
      </c>
      <c r="S39" s="35" t="n">
        <f aca="false">IF(S17=0,0,IF('Cost Margin'!$M25&lt;&gt;"",'Cost Margin'!$M25*S17/'Cost Margin'!$L25,S17*Settings!$B$5*IF('Cost Margin'!$F25="",1,'Cost Margin'!$F25)))</f>
        <v>0</v>
      </c>
      <c r="T39" s="35" t="n">
        <f aca="false">IF(T17=0,0,IF('Cost Margin'!$M25&lt;&gt;"",'Cost Margin'!$M25*T17/'Cost Margin'!$L25,T17*Settings!$B$5*IF('Cost Margin'!$F25="",1,'Cost Margin'!$F25)))</f>
        <v>0</v>
      </c>
      <c r="U39" s="35" t="n">
        <f aca="false">IF(U17=0,0,IF('Cost Margin'!$M25&lt;&gt;"",'Cost Margin'!$M25*U17/'Cost Margin'!$L25,U17*Settings!$B$5*IF('Cost Margin'!$F25="",1,'Cost Margin'!$F25)))</f>
        <v>0</v>
      </c>
      <c r="V39" s="35" t="n">
        <f aca="false">IF(V17=0,0,IF('Cost Margin'!$M25&lt;&gt;"",'Cost Margin'!$M25*V17/'Cost Margin'!$L25,V17*Settings!$B$5*IF('Cost Margin'!$F25="",1,'Cost Margin'!$F25)))</f>
        <v>0</v>
      </c>
      <c r="W39" s="35" t="n">
        <f aca="false">IF(W17=0,0,IF('Cost Margin'!$M25&lt;&gt;"",'Cost Margin'!$M25*W17/'Cost Margin'!$L25,W17*Settings!$B$5*IF('Cost Margin'!$F25="",1,'Cost Margin'!$F25)))</f>
        <v>0</v>
      </c>
      <c r="X39" s="35" t="n">
        <f aca="false">IF(X17=0,0,IF('Cost Margin'!$M25&lt;&gt;"",'Cost Margin'!$M25*X17/'Cost Margin'!$L25,X17*Settings!$B$5*IF('Cost Margin'!$F25="",1,'Cost Margin'!$F25)))</f>
        <v>0</v>
      </c>
      <c r="Y39" s="35" t="n">
        <f aca="false">IF(Y17=0,0,IF('Cost Margin'!$M25&lt;&gt;"",'Cost Margin'!$M25*Y17/'Cost Margin'!$L25,Y17*Settings!$B$5*IF('Cost Margin'!$F25="",1,'Cost Margin'!$F25)))</f>
        <v>0</v>
      </c>
      <c r="Z39" s="35" t="n">
        <f aca="false">IF(Z17=0,0,IF('Cost Margin'!$M25&lt;&gt;"",'Cost Margin'!$M25*Z17/'Cost Margin'!$L25,Z17*Settings!$B$5*IF('Cost Margin'!$F25="",1,'Cost Margin'!$F25)))</f>
        <v>0</v>
      </c>
      <c r="AB39" s="34" t="str">
        <f aca="false">IF('Cost Margin'!A25="","",IF('Cost Margin'!E25="","(unassigned)",'Cost Margin'!E25))</f>
        <v/>
      </c>
    </row>
    <row r="40" customFormat="false" ht="15" hidden="false" customHeight="false" outlineLevel="0" collapsed="false">
      <c r="A40" s="0" t="n">
        <v>10</v>
      </c>
      <c r="B40" s="34" t="str">
        <f aca="false">IF('Cost Margin'!A26="","",'Cost Margin'!A26&amp;IF('Cost Margin'!E26="",""," · "&amp;'Cost Margin'!E26))</f>
        <v/>
      </c>
      <c r="C40" s="35" t="n">
        <f aca="false">IF(C18=0,0,IF('Cost Margin'!$M26&lt;&gt;"",'Cost Margin'!$M26*C18/'Cost Margin'!$L26,C18*Settings!$B$5*IF('Cost Margin'!$F26="",1,'Cost Margin'!$F26)))</f>
        <v>0</v>
      </c>
      <c r="D40" s="35" t="n">
        <f aca="false">IF(D18=0,0,IF('Cost Margin'!$M26&lt;&gt;"",'Cost Margin'!$M26*D18/'Cost Margin'!$L26,D18*Settings!$B$5*IF('Cost Margin'!$F26="",1,'Cost Margin'!$F26)))</f>
        <v>0</v>
      </c>
      <c r="E40" s="35" t="n">
        <f aca="false">IF(E18=0,0,IF('Cost Margin'!$M26&lt;&gt;"",'Cost Margin'!$M26*E18/'Cost Margin'!$L26,E18*Settings!$B$5*IF('Cost Margin'!$F26="",1,'Cost Margin'!$F26)))</f>
        <v>0</v>
      </c>
      <c r="F40" s="35" t="n">
        <f aca="false">IF(F18=0,0,IF('Cost Margin'!$M26&lt;&gt;"",'Cost Margin'!$M26*F18/'Cost Margin'!$L26,F18*Settings!$B$5*IF('Cost Margin'!$F26="",1,'Cost Margin'!$F26)))</f>
        <v>0</v>
      </c>
      <c r="G40" s="35" t="n">
        <f aca="false">IF(G18=0,0,IF('Cost Margin'!$M26&lt;&gt;"",'Cost Margin'!$M26*G18/'Cost Margin'!$L26,G18*Settings!$B$5*IF('Cost Margin'!$F26="",1,'Cost Margin'!$F26)))</f>
        <v>0</v>
      </c>
      <c r="H40" s="35" t="n">
        <f aca="false">IF(H18=0,0,IF('Cost Margin'!$M26&lt;&gt;"",'Cost Margin'!$M26*H18/'Cost Margin'!$L26,H18*Settings!$B$5*IF('Cost Margin'!$F26="",1,'Cost Margin'!$F26)))</f>
        <v>0</v>
      </c>
      <c r="I40" s="35" t="n">
        <f aca="false">IF(I18=0,0,IF('Cost Margin'!$M26&lt;&gt;"",'Cost Margin'!$M26*I18/'Cost Margin'!$L26,I18*Settings!$B$5*IF('Cost Margin'!$F26="",1,'Cost Margin'!$F26)))</f>
        <v>0</v>
      </c>
      <c r="J40" s="35" t="n">
        <f aca="false">IF(J18=0,0,IF('Cost Margin'!$M26&lt;&gt;"",'Cost Margin'!$M26*J18/'Cost Margin'!$L26,J18*Settings!$B$5*IF('Cost Margin'!$F26="",1,'Cost Margin'!$F26)))</f>
        <v>0</v>
      </c>
      <c r="K40" s="35" t="n">
        <f aca="false">IF(K18=0,0,IF('Cost Margin'!$M26&lt;&gt;"",'Cost Margin'!$M26*K18/'Cost Margin'!$L26,K18*Settings!$B$5*IF('Cost Margin'!$F26="",1,'Cost Margin'!$F26)))</f>
        <v>0</v>
      </c>
      <c r="L40" s="35" t="n">
        <f aca="false">IF(L18=0,0,IF('Cost Margin'!$M26&lt;&gt;"",'Cost Margin'!$M26*L18/'Cost Margin'!$L26,L18*Settings!$B$5*IF('Cost Margin'!$F26="",1,'Cost Margin'!$F26)))</f>
        <v>0</v>
      </c>
      <c r="M40" s="35" t="n">
        <f aca="false">IF(M18=0,0,IF('Cost Margin'!$M26&lt;&gt;"",'Cost Margin'!$M26*M18/'Cost Margin'!$L26,M18*Settings!$B$5*IF('Cost Margin'!$F26="",1,'Cost Margin'!$F26)))</f>
        <v>0</v>
      </c>
      <c r="N40" s="35" t="n">
        <f aca="false">IF(N18=0,0,IF('Cost Margin'!$M26&lt;&gt;"",'Cost Margin'!$M26*N18/'Cost Margin'!$L26,N18*Settings!$B$5*IF('Cost Margin'!$F26="",1,'Cost Margin'!$F26)))</f>
        <v>0</v>
      </c>
      <c r="O40" s="35" t="n">
        <f aca="false">IF(O18=0,0,IF('Cost Margin'!$M26&lt;&gt;"",'Cost Margin'!$M26*O18/'Cost Margin'!$L26,O18*Settings!$B$5*IF('Cost Margin'!$F26="",1,'Cost Margin'!$F26)))</f>
        <v>0</v>
      </c>
      <c r="P40" s="35" t="n">
        <f aca="false">IF(P18=0,0,IF('Cost Margin'!$M26&lt;&gt;"",'Cost Margin'!$M26*P18/'Cost Margin'!$L26,P18*Settings!$B$5*IF('Cost Margin'!$F26="",1,'Cost Margin'!$F26)))</f>
        <v>0</v>
      </c>
      <c r="Q40" s="35" t="n">
        <f aca="false">IF(Q18=0,0,IF('Cost Margin'!$M26&lt;&gt;"",'Cost Margin'!$M26*Q18/'Cost Margin'!$L26,Q18*Settings!$B$5*IF('Cost Margin'!$F26="",1,'Cost Margin'!$F26)))</f>
        <v>0</v>
      </c>
      <c r="R40" s="35" t="n">
        <f aca="false">IF(R18=0,0,IF('Cost Margin'!$M26&lt;&gt;"",'Cost Margin'!$M26*R18/'Cost Margin'!$L26,R18*Settings!$B$5*IF('Cost Margin'!$F26="",1,'Cost Margin'!$F26)))</f>
        <v>0</v>
      </c>
      <c r="S40" s="35" t="n">
        <f aca="false">IF(S18=0,0,IF('Cost Margin'!$M26&lt;&gt;"",'Cost Margin'!$M26*S18/'Cost Margin'!$L26,S18*Settings!$B$5*IF('Cost Margin'!$F26="",1,'Cost Margin'!$F26)))</f>
        <v>0</v>
      </c>
      <c r="T40" s="35" t="n">
        <f aca="false">IF(T18=0,0,IF('Cost Margin'!$M26&lt;&gt;"",'Cost Margin'!$M26*T18/'Cost Margin'!$L26,T18*Settings!$B$5*IF('Cost Margin'!$F26="",1,'Cost Margin'!$F26)))</f>
        <v>0</v>
      </c>
      <c r="U40" s="35" t="n">
        <f aca="false">IF(U18=0,0,IF('Cost Margin'!$M26&lt;&gt;"",'Cost Margin'!$M26*U18/'Cost Margin'!$L26,U18*Settings!$B$5*IF('Cost Margin'!$F26="",1,'Cost Margin'!$F26)))</f>
        <v>0</v>
      </c>
      <c r="V40" s="35" t="n">
        <f aca="false">IF(V18=0,0,IF('Cost Margin'!$M26&lt;&gt;"",'Cost Margin'!$M26*V18/'Cost Margin'!$L26,V18*Settings!$B$5*IF('Cost Margin'!$F26="",1,'Cost Margin'!$F26)))</f>
        <v>0</v>
      </c>
      <c r="W40" s="35" t="n">
        <f aca="false">IF(W18=0,0,IF('Cost Margin'!$M26&lt;&gt;"",'Cost Margin'!$M26*W18/'Cost Margin'!$L26,W18*Settings!$B$5*IF('Cost Margin'!$F26="",1,'Cost Margin'!$F26)))</f>
        <v>0</v>
      </c>
      <c r="X40" s="35" t="n">
        <f aca="false">IF(X18=0,0,IF('Cost Margin'!$M26&lt;&gt;"",'Cost Margin'!$M26*X18/'Cost Margin'!$L26,X18*Settings!$B$5*IF('Cost Margin'!$F26="",1,'Cost Margin'!$F26)))</f>
        <v>0</v>
      </c>
      <c r="Y40" s="35" t="n">
        <f aca="false">IF(Y18=0,0,IF('Cost Margin'!$M26&lt;&gt;"",'Cost Margin'!$M26*Y18/'Cost Margin'!$L26,Y18*Settings!$B$5*IF('Cost Margin'!$F26="",1,'Cost Margin'!$F26)))</f>
        <v>0</v>
      </c>
      <c r="Z40" s="35" t="n">
        <f aca="false">IF(Z18=0,0,IF('Cost Margin'!$M26&lt;&gt;"",'Cost Margin'!$M26*Z18/'Cost Margin'!$L26,Z18*Settings!$B$5*IF('Cost Margin'!$F26="",1,'Cost Margin'!$F26)))</f>
        <v>0</v>
      </c>
      <c r="AB40" s="34" t="str">
        <f aca="false">IF('Cost Margin'!A26="","",IF('Cost Margin'!E26="","(unassigned)",'Cost Margin'!E26))</f>
        <v/>
      </c>
    </row>
    <row r="41" customFormat="false" ht="15" hidden="false" customHeight="false" outlineLevel="0" collapsed="false">
      <c r="A41" s="0" t="n">
        <v>11</v>
      </c>
      <c r="B41" s="34" t="str">
        <f aca="false">IF('Cost Margin'!A27="","",'Cost Margin'!A27&amp;IF('Cost Margin'!E27="",""," · "&amp;'Cost Margin'!E27))</f>
        <v/>
      </c>
      <c r="C41" s="35" t="n">
        <f aca="false">IF(C19=0,0,IF('Cost Margin'!$M27&lt;&gt;"",'Cost Margin'!$M27*C19/'Cost Margin'!$L27,C19*Settings!$B$5*IF('Cost Margin'!$F27="",1,'Cost Margin'!$F27)))</f>
        <v>0</v>
      </c>
      <c r="D41" s="35" t="n">
        <f aca="false">IF(D19=0,0,IF('Cost Margin'!$M27&lt;&gt;"",'Cost Margin'!$M27*D19/'Cost Margin'!$L27,D19*Settings!$B$5*IF('Cost Margin'!$F27="",1,'Cost Margin'!$F27)))</f>
        <v>0</v>
      </c>
      <c r="E41" s="35" t="n">
        <f aca="false">IF(E19=0,0,IF('Cost Margin'!$M27&lt;&gt;"",'Cost Margin'!$M27*E19/'Cost Margin'!$L27,E19*Settings!$B$5*IF('Cost Margin'!$F27="",1,'Cost Margin'!$F27)))</f>
        <v>0</v>
      </c>
      <c r="F41" s="35" t="n">
        <f aca="false">IF(F19=0,0,IF('Cost Margin'!$M27&lt;&gt;"",'Cost Margin'!$M27*F19/'Cost Margin'!$L27,F19*Settings!$B$5*IF('Cost Margin'!$F27="",1,'Cost Margin'!$F27)))</f>
        <v>0</v>
      </c>
      <c r="G41" s="35" t="n">
        <f aca="false">IF(G19=0,0,IF('Cost Margin'!$M27&lt;&gt;"",'Cost Margin'!$M27*G19/'Cost Margin'!$L27,G19*Settings!$B$5*IF('Cost Margin'!$F27="",1,'Cost Margin'!$F27)))</f>
        <v>0</v>
      </c>
      <c r="H41" s="35" t="n">
        <f aca="false">IF(H19=0,0,IF('Cost Margin'!$M27&lt;&gt;"",'Cost Margin'!$M27*H19/'Cost Margin'!$L27,H19*Settings!$B$5*IF('Cost Margin'!$F27="",1,'Cost Margin'!$F27)))</f>
        <v>0</v>
      </c>
      <c r="I41" s="35" t="n">
        <f aca="false">IF(I19=0,0,IF('Cost Margin'!$M27&lt;&gt;"",'Cost Margin'!$M27*I19/'Cost Margin'!$L27,I19*Settings!$B$5*IF('Cost Margin'!$F27="",1,'Cost Margin'!$F27)))</f>
        <v>0</v>
      </c>
      <c r="J41" s="35" t="n">
        <f aca="false">IF(J19=0,0,IF('Cost Margin'!$M27&lt;&gt;"",'Cost Margin'!$M27*J19/'Cost Margin'!$L27,J19*Settings!$B$5*IF('Cost Margin'!$F27="",1,'Cost Margin'!$F27)))</f>
        <v>0</v>
      </c>
      <c r="K41" s="35" t="n">
        <f aca="false">IF(K19=0,0,IF('Cost Margin'!$M27&lt;&gt;"",'Cost Margin'!$M27*K19/'Cost Margin'!$L27,K19*Settings!$B$5*IF('Cost Margin'!$F27="",1,'Cost Margin'!$F27)))</f>
        <v>0</v>
      </c>
      <c r="L41" s="35" t="n">
        <f aca="false">IF(L19=0,0,IF('Cost Margin'!$M27&lt;&gt;"",'Cost Margin'!$M27*L19/'Cost Margin'!$L27,L19*Settings!$B$5*IF('Cost Margin'!$F27="",1,'Cost Margin'!$F27)))</f>
        <v>0</v>
      </c>
      <c r="M41" s="35" t="n">
        <f aca="false">IF(M19=0,0,IF('Cost Margin'!$M27&lt;&gt;"",'Cost Margin'!$M27*M19/'Cost Margin'!$L27,M19*Settings!$B$5*IF('Cost Margin'!$F27="",1,'Cost Margin'!$F27)))</f>
        <v>0</v>
      </c>
      <c r="N41" s="35" t="n">
        <f aca="false">IF(N19=0,0,IF('Cost Margin'!$M27&lt;&gt;"",'Cost Margin'!$M27*N19/'Cost Margin'!$L27,N19*Settings!$B$5*IF('Cost Margin'!$F27="",1,'Cost Margin'!$F27)))</f>
        <v>0</v>
      </c>
      <c r="O41" s="35" t="n">
        <f aca="false">IF(O19=0,0,IF('Cost Margin'!$M27&lt;&gt;"",'Cost Margin'!$M27*O19/'Cost Margin'!$L27,O19*Settings!$B$5*IF('Cost Margin'!$F27="",1,'Cost Margin'!$F27)))</f>
        <v>0</v>
      </c>
      <c r="P41" s="35" t="n">
        <f aca="false">IF(P19=0,0,IF('Cost Margin'!$M27&lt;&gt;"",'Cost Margin'!$M27*P19/'Cost Margin'!$L27,P19*Settings!$B$5*IF('Cost Margin'!$F27="",1,'Cost Margin'!$F27)))</f>
        <v>0</v>
      </c>
      <c r="Q41" s="35" t="n">
        <f aca="false">IF(Q19=0,0,IF('Cost Margin'!$M27&lt;&gt;"",'Cost Margin'!$M27*Q19/'Cost Margin'!$L27,Q19*Settings!$B$5*IF('Cost Margin'!$F27="",1,'Cost Margin'!$F27)))</f>
        <v>0</v>
      </c>
      <c r="R41" s="35" t="n">
        <f aca="false">IF(R19=0,0,IF('Cost Margin'!$M27&lt;&gt;"",'Cost Margin'!$M27*R19/'Cost Margin'!$L27,R19*Settings!$B$5*IF('Cost Margin'!$F27="",1,'Cost Margin'!$F27)))</f>
        <v>0</v>
      </c>
      <c r="S41" s="35" t="n">
        <f aca="false">IF(S19=0,0,IF('Cost Margin'!$M27&lt;&gt;"",'Cost Margin'!$M27*S19/'Cost Margin'!$L27,S19*Settings!$B$5*IF('Cost Margin'!$F27="",1,'Cost Margin'!$F27)))</f>
        <v>0</v>
      </c>
      <c r="T41" s="35" t="n">
        <f aca="false">IF(T19=0,0,IF('Cost Margin'!$M27&lt;&gt;"",'Cost Margin'!$M27*T19/'Cost Margin'!$L27,T19*Settings!$B$5*IF('Cost Margin'!$F27="",1,'Cost Margin'!$F27)))</f>
        <v>0</v>
      </c>
      <c r="U41" s="35" t="n">
        <f aca="false">IF(U19=0,0,IF('Cost Margin'!$M27&lt;&gt;"",'Cost Margin'!$M27*U19/'Cost Margin'!$L27,U19*Settings!$B$5*IF('Cost Margin'!$F27="",1,'Cost Margin'!$F27)))</f>
        <v>0</v>
      </c>
      <c r="V41" s="35" t="n">
        <f aca="false">IF(V19=0,0,IF('Cost Margin'!$M27&lt;&gt;"",'Cost Margin'!$M27*V19/'Cost Margin'!$L27,V19*Settings!$B$5*IF('Cost Margin'!$F27="",1,'Cost Margin'!$F27)))</f>
        <v>0</v>
      </c>
      <c r="W41" s="35" t="n">
        <f aca="false">IF(W19=0,0,IF('Cost Margin'!$M27&lt;&gt;"",'Cost Margin'!$M27*W19/'Cost Margin'!$L27,W19*Settings!$B$5*IF('Cost Margin'!$F27="",1,'Cost Margin'!$F27)))</f>
        <v>0</v>
      </c>
      <c r="X41" s="35" t="n">
        <f aca="false">IF(X19=0,0,IF('Cost Margin'!$M27&lt;&gt;"",'Cost Margin'!$M27*X19/'Cost Margin'!$L27,X19*Settings!$B$5*IF('Cost Margin'!$F27="",1,'Cost Margin'!$F27)))</f>
        <v>0</v>
      </c>
      <c r="Y41" s="35" t="n">
        <f aca="false">IF(Y19=0,0,IF('Cost Margin'!$M27&lt;&gt;"",'Cost Margin'!$M27*Y19/'Cost Margin'!$L27,Y19*Settings!$B$5*IF('Cost Margin'!$F27="",1,'Cost Margin'!$F27)))</f>
        <v>0</v>
      </c>
      <c r="Z41" s="35" t="n">
        <f aca="false">IF(Z19=0,0,IF('Cost Margin'!$M27&lt;&gt;"",'Cost Margin'!$M27*Z19/'Cost Margin'!$L27,Z19*Settings!$B$5*IF('Cost Margin'!$F27="",1,'Cost Margin'!$F27)))</f>
        <v>0</v>
      </c>
      <c r="AB41" s="34" t="str">
        <f aca="false">IF('Cost Margin'!A27="","",IF('Cost Margin'!E27="","(unassigned)",'Cost Margin'!E27))</f>
        <v/>
      </c>
    </row>
    <row r="42" customFormat="false" ht="15" hidden="false" customHeight="false" outlineLevel="0" collapsed="false">
      <c r="A42" s="0" t="n">
        <v>12</v>
      </c>
      <c r="B42" s="34" t="str">
        <f aca="false">IF('Cost Margin'!A28="","",'Cost Margin'!A28&amp;IF('Cost Margin'!E28="",""," · "&amp;'Cost Margin'!E28))</f>
        <v/>
      </c>
      <c r="C42" s="35" t="n">
        <f aca="false">IF(C20=0,0,IF('Cost Margin'!$M28&lt;&gt;"",'Cost Margin'!$M28*C20/'Cost Margin'!$L28,C20*Settings!$B$5*IF('Cost Margin'!$F28="",1,'Cost Margin'!$F28)))</f>
        <v>0</v>
      </c>
      <c r="D42" s="35" t="n">
        <f aca="false">IF(D20=0,0,IF('Cost Margin'!$M28&lt;&gt;"",'Cost Margin'!$M28*D20/'Cost Margin'!$L28,D20*Settings!$B$5*IF('Cost Margin'!$F28="",1,'Cost Margin'!$F28)))</f>
        <v>0</v>
      </c>
      <c r="E42" s="35" t="n">
        <f aca="false">IF(E20=0,0,IF('Cost Margin'!$M28&lt;&gt;"",'Cost Margin'!$M28*E20/'Cost Margin'!$L28,E20*Settings!$B$5*IF('Cost Margin'!$F28="",1,'Cost Margin'!$F28)))</f>
        <v>0</v>
      </c>
      <c r="F42" s="35" t="n">
        <f aca="false">IF(F20=0,0,IF('Cost Margin'!$M28&lt;&gt;"",'Cost Margin'!$M28*F20/'Cost Margin'!$L28,F20*Settings!$B$5*IF('Cost Margin'!$F28="",1,'Cost Margin'!$F28)))</f>
        <v>0</v>
      </c>
      <c r="G42" s="35" t="n">
        <f aca="false">IF(G20=0,0,IF('Cost Margin'!$M28&lt;&gt;"",'Cost Margin'!$M28*G20/'Cost Margin'!$L28,G20*Settings!$B$5*IF('Cost Margin'!$F28="",1,'Cost Margin'!$F28)))</f>
        <v>0</v>
      </c>
      <c r="H42" s="35" t="n">
        <f aca="false">IF(H20=0,0,IF('Cost Margin'!$M28&lt;&gt;"",'Cost Margin'!$M28*H20/'Cost Margin'!$L28,H20*Settings!$B$5*IF('Cost Margin'!$F28="",1,'Cost Margin'!$F28)))</f>
        <v>0</v>
      </c>
      <c r="I42" s="35" t="n">
        <f aca="false">IF(I20=0,0,IF('Cost Margin'!$M28&lt;&gt;"",'Cost Margin'!$M28*I20/'Cost Margin'!$L28,I20*Settings!$B$5*IF('Cost Margin'!$F28="",1,'Cost Margin'!$F28)))</f>
        <v>0</v>
      </c>
      <c r="J42" s="35" t="n">
        <f aca="false">IF(J20=0,0,IF('Cost Margin'!$M28&lt;&gt;"",'Cost Margin'!$M28*J20/'Cost Margin'!$L28,J20*Settings!$B$5*IF('Cost Margin'!$F28="",1,'Cost Margin'!$F28)))</f>
        <v>0</v>
      </c>
      <c r="K42" s="35" t="n">
        <f aca="false">IF(K20=0,0,IF('Cost Margin'!$M28&lt;&gt;"",'Cost Margin'!$M28*K20/'Cost Margin'!$L28,K20*Settings!$B$5*IF('Cost Margin'!$F28="",1,'Cost Margin'!$F28)))</f>
        <v>0</v>
      </c>
      <c r="L42" s="35" t="n">
        <f aca="false">IF(L20=0,0,IF('Cost Margin'!$M28&lt;&gt;"",'Cost Margin'!$M28*L20/'Cost Margin'!$L28,L20*Settings!$B$5*IF('Cost Margin'!$F28="",1,'Cost Margin'!$F28)))</f>
        <v>0</v>
      </c>
      <c r="M42" s="35" t="n">
        <f aca="false">IF(M20=0,0,IF('Cost Margin'!$M28&lt;&gt;"",'Cost Margin'!$M28*M20/'Cost Margin'!$L28,M20*Settings!$B$5*IF('Cost Margin'!$F28="",1,'Cost Margin'!$F28)))</f>
        <v>0</v>
      </c>
      <c r="N42" s="35" t="n">
        <f aca="false">IF(N20=0,0,IF('Cost Margin'!$M28&lt;&gt;"",'Cost Margin'!$M28*N20/'Cost Margin'!$L28,N20*Settings!$B$5*IF('Cost Margin'!$F28="",1,'Cost Margin'!$F28)))</f>
        <v>0</v>
      </c>
      <c r="O42" s="35" t="n">
        <f aca="false">IF(O20=0,0,IF('Cost Margin'!$M28&lt;&gt;"",'Cost Margin'!$M28*O20/'Cost Margin'!$L28,O20*Settings!$B$5*IF('Cost Margin'!$F28="",1,'Cost Margin'!$F28)))</f>
        <v>0</v>
      </c>
      <c r="P42" s="35" t="n">
        <f aca="false">IF(P20=0,0,IF('Cost Margin'!$M28&lt;&gt;"",'Cost Margin'!$M28*P20/'Cost Margin'!$L28,P20*Settings!$B$5*IF('Cost Margin'!$F28="",1,'Cost Margin'!$F28)))</f>
        <v>0</v>
      </c>
      <c r="Q42" s="35" t="n">
        <f aca="false">IF(Q20=0,0,IF('Cost Margin'!$M28&lt;&gt;"",'Cost Margin'!$M28*Q20/'Cost Margin'!$L28,Q20*Settings!$B$5*IF('Cost Margin'!$F28="",1,'Cost Margin'!$F28)))</f>
        <v>0</v>
      </c>
      <c r="R42" s="35" t="n">
        <f aca="false">IF(R20=0,0,IF('Cost Margin'!$M28&lt;&gt;"",'Cost Margin'!$M28*R20/'Cost Margin'!$L28,R20*Settings!$B$5*IF('Cost Margin'!$F28="",1,'Cost Margin'!$F28)))</f>
        <v>0</v>
      </c>
      <c r="S42" s="35" t="n">
        <f aca="false">IF(S20=0,0,IF('Cost Margin'!$M28&lt;&gt;"",'Cost Margin'!$M28*S20/'Cost Margin'!$L28,S20*Settings!$B$5*IF('Cost Margin'!$F28="",1,'Cost Margin'!$F28)))</f>
        <v>0</v>
      </c>
      <c r="T42" s="35" t="n">
        <f aca="false">IF(T20=0,0,IF('Cost Margin'!$M28&lt;&gt;"",'Cost Margin'!$M28*T20/'Cost Margin'!$L28,T20*Settings!$B$5*IF('Cost Margin'!$F28="",1,'Cost Margin'!$F28)))</f>
        <v>0</v>
      </c>
      <c r="U42" s="35" t="n">
        <f aca="false">IF(U20=0,0,IF('Cost Margin'!$M28&lt;&gt;"",'Cost Margin'!$M28*U20/'Cost Margin'!$L28,U20*Settings!$B$5*IF('Cost Margin'!$F28="",1,'Cost Margin'!$F28)))</f>
        <v>0</v>
      </c>
      <c r="V42" s="35" t="n">
        <f aca="false">IF(V20=0,0,IF('Cost Margin'!$M28&lt;&gt;"",'Cost Margin'!$M28*V20/'Cost Margin'!$L28,V20*Settings!$B$5*IF('Cost Margin'!$F28="",1,'Cost Margin'!$F28)))</f>
        <v>0</v>
      </c>
      <c r="W42" s="35" t="n">
        <f aca="false">IF(W20=0,0,IF('Cost Margin'!$M28&lt;&gt;"",'Cost Margin'!$M28*W20/'Cost Margin'!$L28,W20*Settings!$B$5*IF('Cost Margin'!$F28="",1,'Cost Margin'!$F28)))</f>
        <v>0</v>
      </c>
      <c r="X42" s="35" t="n">
        <f aca="false">IF(X20=0,0,IF('Cost Margin'!$M28&lt;&gt;"",'Cost Margin'!$M28*X20/'Cost Margin'!$L28,X20*Settings!$B$5*IF('Cost Margin'!$F28="",1,'Cost Margin'!$F28)))</f>
        <v>0</v>
      </c>
      <c r="Y42" s="35" t="n">
        <f aca="false">IF(Y20=0,0,IF('Cost Margin'!$M28&lt;&gt;"",'Cost Margin'!$M28*Y20/'Cost Margin'!$L28,Y20*Settings!$B$5*IF('Cost Margin'!$F28="",1,'Cost Margin'!$F28)))</f>
        <v>0</v>
      </c>
      <c r="Z42" s="35" t="n">
        <f aca="false">IF(Z20=0,0,IF('Cost Margin'!$M28&lt;&gt;"",'Cost Margin'!$M28*Z20/'Cost Margin'!$L28,Z20*Settings!$B$5*IF('Cost Margin'!$F28="",1,'Cost Margin'!$F28)))</f>
        <v>0</v>
      </c>
      <c r="AB42" s="34" t="str">
        <f aca="false">IF('Cost Margin'!A28="","",IF('Cost Margin'!E28="","(unassigned)",'Cost Margin'!E28))</f>
        <v/>
      </c>
    </row>
    <row r="43" customFormat="false" ht="15" hidden="false" customHeight="false" outlineLevel="0" collapsed="false">
      <c r="A43" s="0" t="n">
        <v>13</v>
      </c>
      <c r="B43" s="34" t="str">
        <f aca="false">IF('Cost Margin'!A29="","",'Cost Margin'!A29&amp;IF('Cost Margin'!E29="",""," · "&amp;'Cost Margin'!E29))</f>
        <v/>
      </c>
      <c r="C43" s="35" t="n">
        <f aca="false">IF(C21=0,0,IF('Cost Margin'!$M29&lt;&gt;"",'Cost Margin'!$M29*C21/'Cost Margin'!$L29,C21*Settings!$B$5*IF('Cost Margin'!$F29="",1,'Cost Margin'!$F29)))</f>
        <v>0</v>
      </c>
      <c r="D43" s="35" t="n">
        <f aca="false">IF(D21=0,0,IF('Cost Margin'!$M29&lt;&gt;"",'Cost Margin'!$M29*D21/'Cost Margin'!$L29,D21*Settings!$B$5*IF('Cost Margin'!$F29="",1,'Cost Margin'!$F29)))</f>
        <v>0</v>
      </c>
      <c r="E43" s="35" t="n">
        <f aca="false">IF(E21=0,0,IF('Cost Margin'!$M29&lt;&gt;"",'Cost Margin'!$M29*E21/'Cost Margin'!$L29,E21*Settings!$B$5*IF('Cost Margin'!$F29="",1,'Cost Margin'!$F29)))</f>
        <v>0</v>
      </c>
      <c r="F43" s="35" t="n">
        <f aca="false">IF(F21=0,0,IF('Cost Margin'!$M29&lt;&gt;"",'Cost Margin'!$M29*F21/'Cost Margin'!$L29,F21*Settings!$B$5*IF('Cost Margin'!$F29="",1,'Cost Margin'!$F29)))</f>
        <v>0</v>
      </c>
      <c r="G43" s="35" t="n">
        <f aca="false">IF(G21=0,0,IF('Cost Margin'!$M29&lt;&gt;"",'Cost Margin'!$M29*G21/'Cost Margin'!$L29,G21*Settings!$B$5*IF('Cost Margin'!$F29="",1,'Cost Margin'!$F29)))</f>
        <v>0</v>
      </c>
      <c r="H43" s="35" t="n">
        <f aca="false">IF(H21=0,0,IF('Cost Margin'!$M29&lt;&gt;"",'Cost Margin'!$M29*H21/'Cost Margin'!$L29,H21*Settings!$B$5*IF('Cost Margin'!$F29="",1,'Cost Margin'!$F29)))</f>
        <v>0</v>
      </c>
      <c r="I43" s="35" t="n">
        <f aca="false">IF(I21=0,0,IF('Cost Margin'!$M29&lt;&gt;"",'Cost Margin'!$M29*I21/'Cost Margin'!$L29,I21*Settings!$B$5*IF('Cost Margin'!$F29="",1,'Cost Margin'!$F29)))</f>
        <v>0</v>
      </c>
      <c r="J43" s="35" t="n">
        <f aca="false">IF(J21=0,0,IF('Cost Margin'!$M29&lt;&gt;"",'Cost Margin'!$M29*J21/'Cost Margin'!$L29,J21*Settings!$B$5*IF('Cost Margin'!$F29="",1,'Cost Margin'!$F29)))</f>
        <v>0</v>
      </c>
      <c r="K43" s="35" t="n">
        <f aca="false">IF(K21=0,0,IF('Cost Margin'!$M29&lt;&gt;"",'Cost Margin'!$M29*K21/'Cost Margin'!$L29,K21*Settings!$B$5*IF('Cost Margin'!$F29="",1,'Cost Margin'!$F29)))</f>
        <v>0</v>
      </c>
      <c r="L43" s="35" t="n">
        <f aca="false">IF(L21=0,0,IF('Cost Margin'!$M29&lt;&gt;"",'Cost Margin'!$M29*L21/'Cost Margin'!$L29,L21*Settings!$B$5*IF('Cost Margin'!$F29="",1,'Cost Margin'!$F29)))</f>
        <v>0</v>
      </c>
      <c r="M43" s="35" t="n">
        <f aca="false">IF(M21=0,0,IF('Cost Margin'!$M29&lt;&gt;"",'Cost Margin'!$M29*M21/'Cost Margin'!$L29,M21*Settings!$B$5*IF('Cost Margin'!$F29="",1,'Cost Margin'!$F29)))</f>
        <v>0</v>
      </c>
      <c r="N43" s="35" t="n">
        <f aca="false">IF(N21=0,0,IF('Cost Margin'!$M29&lt;&gt;"",'Cost Margin'!$M29*N21/'Cost Margin'!$L29,N21*Settings!$B$5*IF('Cost Margin'!$F29="",1,'Cost Margin'!$F29)))</f>
        <v>0</v>
      </c>
      <c r="O43" s="35" t="n">
        <f aca="false">IF(O21=0,0,IF('Cost Margin'!$M29&lt;&gt;"",'Cost Margin'!$M29*O21/'Cost Margin'!$L29,O21*Settings!$B$5*IF('Cost Margin'!$F29="",1,'Cost Margin'!$F29)))</f>
        <v>0</v>
      </c>
      <c r="P43" s="35" t="n">
        <f aca="false">IF(P21=0,0,IF('Cost Margin'!$M29&lt;&gt;"",'Cost Margin'!$M29*P21/'Cost Margin'!$L29,P21*Settings!$B$5*IF('Cost Margin'!$F29="",1,'Cost Margin'!$F29)))</f>
        <v>0</v>
      </c>
      <c r="Q43" s="35" t="n">
        <f aca="false">IF(Q21=0,0,IF('Cost Margin'!$M29&lt;&gt;"",'Cost Margin'!$M29*Q21/'Cost Margin'!$L29,Q21*Settings!$B$5*IF('Cost Margin'!$F29="",1,'Cost Margin'!$F29)))</f>
        <v>0</v>
      </c>
      <c r="R43" s="35" t="n">
        <f aca="false">IF(R21=0,0,IF('Cost Margin'!$M29&lt;&gt;"",'Cost Margin'!$M29*R21/'Cost Margin'!$L29,R21*Settings!$B$5*IF('Cost Margin'!$F29="",1,'Cost Margin'!$F29)))</f>
        <v>0</v>
      </c>
      <c r="S43" s="35" t="n">
        <f aca="false">IF(S21=0,0,IF('Cost Margin'!$M29&lt;&gt;"",'Cost Margin'!$M29*S21/'Cost Margin'!$L29,S21*Settings!$B$5*IF('Cost Margin'!$F29="",1,'Cost Margin'!$F29)))</f>
        <v>0</v>
      </c>
      <c r="T43" s="35" t="n">
        <f aca="false">IF(T21=0,0,IF('Cost Margin'!$M29&lt;&gt;"",'Cost Margin'!$M29*T21/'Cost Margin'!$L29,T21*Settings!$B$5*IF('Cost Margin'!$F29="",1,'Cost Margin'!$F29)))</f>
        <v>0</v>
      </c>
      <c r="U43" s="35" t="n">
        <f aca="false">IF(U21=0,0,IF('Cost Margin'!$M29&lt;&gt;"",'Cost Margin'!$M29*U21/'Cost Margin'!$L29,U21*Settings!$B$5*IF('Cost Margin'!$F29="",1,'Cost Margin'!$F29)))</f>
        <v>0</v>
      </c>
      <c r="V43" s="35" t="n">
        <f aca="false">IF(V21=0,0,IF('Cost Margin'!$M29&lt;&gt;"",'Cost Margin'!$M29*V21/'Cost Margin'!$L29,V21*Settings!$B$5*IF('Cost Margin'!$F29="",1,'Cost Margin'!$F29)))</f>
        <v>0</v>
      </c>
      <c r="W43" s="35" t="n">
        <f aca="false">IF(W21=0,0,IF('Cost Margin'!$M29&lt;&gt;"",'Cost Margin'!$M29*W21/'Cost Margin'!$L29,W21*Settings!$B$5*IF('Cost Margin'!$F29="",1,'Cost Margin'!$F29)))</f>
        <v>0</v>
      </c>
      <c r="X43" s="35" t="n">
        <f aca="false">IF(X21=0,0,IF('Cost Margin'!$M29&lt;&gt;"",'Cost Margin'!$M29*X21/'Cost Margin'!$L29,X21*Settings!$B$5*IF('Cost Margin'!$F29="",1,'Cost Margin'!$F29)))</f>
        <v>0</v>
      </c>
      <c r="Y43" s="35" t="n">
        <f aca="false">IF(Y21=0,0,IF('Cost Margin'!$M29&lt;&gt;"",'Cost Margin'!$M29*Y21/'Cost Margin'!$L29,Y21*Settings!$B$5*IF('Cost Margin'!$F29="",1,'Cost Margin'!$F29)))</f>
        <v>0</v>
      </c>
      <c r="Z43" s="35" t="n">
        <f aca="false">IF(Z21=0,0,IF('Cost Margin'!$M29&lt;&gt;"",'Cost Margin'!$M29*Z21/'Cost Margin'!$L29,Z21*Settings!$B$5*IF('Cost Margin'!$F29="",1,'Cost Margin'!$F29)))</f>
        <v>0</v>
      </c>
      <c r="AB43" s="34" t="str">
        <f aca="false">IF('Cost Margin'!A29="","",IF('Cost Margin'!E29="","(unassigned)",'Cost Margin'!E29))</f>
        <v/>
      </c>
    </row>
    <row r="44" customFormat="false" ht="15" hidden="false" customHeight="false" outlineLevel="0" collapsed="false">
      <c r="A44" s="0" t="n">
        <v>14</v>
      </c>
      <c r="B44" s="34" t="str">
        <f aca="false">IF('Cost Margin'!A30="","",'Cost Margin'!A30&amp;IF('Cost Margin'!E30="",""," · "&amp;'Cost Margin'!E30))</f>
        <v/>
      </c>
      <c r="C44" s="35" t="n">
        <f aca="false">IF(C22=0,0,IF('Cost Margin'!$M30&lt;&gt;"",'Cost Margin'!$M30*C22/'Cost Margin'!$L30,C22*Settings!$B$5*IF('Cost Margin'!$F30="",1,'Cost Margin'!$F30)))</f>
        <v>0</v>
      </c>
      <c r="D44" s="35" t="n">
        <f aca="false">IF(D22=0,0,IF('Cost Margin'!$M30&lt;&gt;"",'Cost Margin'!$M30*D22/'Cost Margin'!$L30,D22*Settings!$B$5*IF('Cost Margin'!$F30="",1,'Cost Margin'!$F30)))</f>
        <v>0</v>
      </c>
      <c r="E44" s="35" t="n">
        <f aca="false">IF(E22=0,0,IF('Cost Margin'!$M30&lt;&gt;"",'Cost Margin'!$M30*E22/'Cost Margin'!$L30,E22*Settings!$B$5*IF('Cost Margin'!$F30="",1,'Cost Margin'!$F30)))</f>
        <v>0</v>
      </c>
      <c r="F44" s="35" t="n">
        <f aca="false">IF(F22=0,0,IF('Cost Margin'!$M30&lt;&gt;"",'Cost Margin'!$M30*F22/'Cost Margin'!$L30,F22*Settings!$B$5*IF('Cost Margin'!$F30="",1,'Cost Margin'!$F30)))</f>
        <v>0</v>
      </c>
      <c r="G44" s="35" t="n">
        <f aca="false">IF(G22=0,0,IF('Cost Margin'!$M30&lt;&gt;"",'Cost Margin'!$M30*G22/'Cost Margin'!$L30,G22*Settings!$B$5*IF('Cost Margin'!$F30="",1,'Cost Margin'!$F30)))</f>
        <v>0</v>
      </c>
      <c r="H44" s="35" t="n">
        <f aca="false">IF(H22=0,0,IF('Cost Margin'!$M30&lt;&gt;"",'Cost Margin'!$M30*H22/'Cost Margin'!$L30,H22*Settings!$B$5*IF('Cost Margin'!$F30="",1,'Cost Margin'!$F30)))</f>
        <v>0</v>
      </c>
      <c r="I44" s="35" t="n">
        <f aca="false">IF(I22=0,0,IF('Cost Margin'!$M30&lt;&gt;"",'Cost Margin'!$M30*I22/'Cost Margin'!$L30,I22*Settings!$B$5*IF('Cost Margin'!$F30="",1,'Cost Margin'!$F30)))</f>
        <v>0</v>
      </c>
      <c r="J44" s="35" t="n">
        <f aca="false">IF(J22=0,0,IF('Cost Margin'!$M30&lt;&gt;"",'Cost Margin'!$M30*J22/'Cost Margin'!$L30,J22*Settings!$B$5*IF('Cost Margin'!$F30="",1,'Cost Margin'!$F30)))</f>
        <v>0</v>
      </c>
      <c r="K44" s="35" t="n">
        <f aca="false">IF(K22=0,0,IF('Cost Margin'!$M30&lt;&gt;"",'Cost Margin'!$M30*K22/'Cost Margin'!$L30,K22*Settings!$B$5*IF('Cost Margin'!$F30="",1,'Cost Margin'!$F30)))</f>
        <v>0</v>
      </c>
      <c r="L44" s="35" t="n">
        <f aca="false">IF(L22=0,0,IF('Cost Margin'!$M30&lt;&gt;"",'Cost Margin'!$M30*L22/'Cost Margin'!$L30,L22*Settings!$B$5*IF('Cost Margin'!$F30="",1,'Cost Margin'!$F30)))</f>
        <v>0</v>
      </c>
      <c r="M44" s="35" t="n">
        <f aca="false">IF(M22=0,0,IF('Cost Margin'!$M30&lt;&gt;"",'Cost Margin'!$M30*M22/'Cost Margin'!$L30,M22*Settings!$B$5*IF('Cost Margin'!$F30="",1,'Cost Margin'!$F30)))</f>
        <v>0</v>
      </c>
      <c r="N44" s="35" t="n">
        <f aca="false">IF(N22=0,0,IF('Cost Margin'!$M30&lt;&gt;"",'Cost Margin'!$M30*N22/'Cost Margin'!$L30,N22*Settings!$B$5*IF('Cost Margin'!$F30="",1,'Cost Margin'!$F30)))</f>
        <v>0</v>
      </c>
      <c r="O44" s="35" t="n">
        <f aca="false">IF(O22=0,0,IF('Cost Margin'!$M30&lt;&gt;"",'Cost Margin'!$M30*O22/'Cost Margin'!$L30,O22*Settings!$B$5*IF('Cost Margin'!$F30="",1,'Cost Margin'!$F30)))</f>
        <v>0</v>
      </c>
      <c r="P44" s="35" t="n">
        <f aca="false">IF(P22=0,0,IF('Cost Margin'!$M30&lt;&gt;"",'Cost Margin'!$M30*P22/'Cost Margin'!$L30,P22*Settings!$B$5*IF('Cost Margin'!$F30="",1,'Cost Margin'!$F30)))</f>
        <v>0</v>
      </c>
      <c r="Q44" s="35" t="n">
        <f aca="false">IF(Q22=0,0,IF('Cost Margin'!$M30&lt;&gt;"",'Cost Margin'!$M30*Q22/'Cost Margin'!$L30,Q22*Settings!$B$5*IF('Cost Margin'!$F30="",1,'Cost Margin'!$F30)))</f>
        <v>0</v>
      </c>
      <c r="R44" s="35" t="n">
        <f aca="false">IF(R22=0,0,IF('Cost Margin'!$M30&lt;&gt;"",'Cost Margin'!$M30*R22/'Cost Margin'!$L30,R22*Settings!$B$5*IF('Cost Margin'!$F30="",1,'Cost Margin'!$F30)))</f>
        <v>0</v>
      </c>
      <c r="S44" s="35" t="n">
        <f aca="false">IF(S22=0,0,IF('Cost Margin'!$M30&lt;&gt;"",'Cost Margin'!$M30*S22/'Cost Margin'!$L30,S22*Settings!$B$5*IF('Cost Margin'!$F30="",1,'Cost Margin'!$F30)))</f>
        <v>0</v>
      </c>
      <c r="T44" s="35" t="n">
        <f aca="false">IF(T22=0,0,IF('Cost Margin'!$M30&lt;&gt;"",'Cost Margin'!$M30*T22/'Cost Margin'!$L30,T22*Settings!$B$5*IF('Cost Margin'!$F30="",1,'Cost Margin'!$F30)))</f>
        <v>0</v>
      </c>
      <c r="U44" s="35" t="n">
        <f aca="false">IF(U22=0,0,IF('Cost Margin'!$M30&lt;&gt;"",'Cost Margin'!$M30*U22/'Cost Margin'!$L30,U22*Settings!$B$5*IF('Cost Margin'!$F30="",1,'Cost Margin'!$F30)))</f>
        <v>0</v>
      </c>
      <c r="V44" s="35" t="n">
        <f aca="false">IF(V22=0,0,IF('Cost Margin'!$M30&lt;&gt;"",'Cost Margin'!$M30*V22/'Cost Margin'!$L30,V22*Settings!$B$5*IF('Cost Margin'!$F30="",1,'Cost Margin'!$F30)))</f>
        <v>0</v>
      </c>
      <c r="W44" s="35" t="n">
        <f aca="false">IF(W22=0,0,IF('Cost Margin'!$M30&lt;&gt;"",'Cost Margin'!$M30*W22/'Cost Margin'!$L30,W22*Settings!$B$5*IF('Cost Margin'!$F30="",1,'Cost Margin'!$F30)))</f>
        <v>0</v>
      </c>
      <c r="X44" s="35" t="n">
        <f aca="false">IF(X22=0,0,IF('Cost Margin'!$M30&lt;&gt;"",'Cost Margin'!$M30*X22/'Cost Margin'!$L30,X22*Settings!$B$5*IF('Cost Margin'!$F30="",1,'Cost Margin'!$F30)))</f>
        <v>0</v>
      </c>
      <c r="Y44" s="35" t="n">
        <f aca="false">IF(Y22=0,0,IF('Cost Margin'!$M30&lt;&gt;"",'Cost Margin'!$M30*Y22/'Cost Margin'!$L30,Y22*Settings!$B$5*IF('Cost Margin'!$F30="",1,'Cost Margin'!$F30)))</f>
        <v>0</v>
      </c>
      <c r="Z44" s="35" t="n">
        <f aca="false">IF(Z22=0,0,IF('Cost Margin'!$M30&lt;&gt;"",'Cost Margin'!$M30*Z22/'Cost Margin'!$L30,Z22*Settings!$B$5*IF('Cost Margin'!$F30="",1,'Cost Margin'!$F30)))</f>
        <v>0</v>
      </c>
      <c r="AB44" s="34" t="str">
        <f aca="false">IF('Cost Margin'!A30="","",IF('Cost Margin'!E30="","(unassigned)",'Cost Margin'!E30))</f>
        <v/>
      </c>
    </row>
    <row r="45" customFormat="false" ht="15" hidden="false" customHeight="false" outlineLevel="0" collapsed="false">
      <c r="A45" s="0" t="n">
        <v>15</v>
      </c>
      <c r="B45" s="34" t="str">
        <f aca="false">IF('Cost Margin'!A31="","",'Cost Margin'!A31&amp;IF('Cost Margin'!E31="",""," · "&amp;'Cost Margin'!E31))</f>
        <v/>
      </c>
      <c r="C45" s="35" t="n">
        <f aca="false">IF(C23=0,0,IF('Cost Margin'!$M31&lt;&gt;"",'Cost Margin'!$M31*C23/'Cost Margin'!$L31,C23*Settings!$B$5*IF('Cost Margin'!$F31="",1,'Cost Margin'!$F31)))</f>
        <v>0</v>
      </c>
      <c r="D45" s="35" t="n">
        <f aca="false">IF(D23=0,0,IF('Cost Margin'!$M31&lt;&gt;"",'Cost Margin'!$M31*D23/'Cost Margin'!$L31,D23*Settings!$B$5*IF('Cost Margin'!$F31="",1,'Cost Margin'!$F31)))</f>
        <v>0</v>
      </c>
      <c r="E45" s="35" t="n">
        <f aca="false">IF(E23=0,0,IF('Cost Margin'!$M31&lt;&gt;"",'Cost Margin'!$M31*E23/'Cost Margin'!$L31,E23*Settings!$B$5*IF('Cost Margin'!$F31="",1,'Cost Margin'!$F31)))</f>
        <v>0</v>
      </c>
      <c r="F45" s="35" t="n">
        <f aca="false">IF(F23=0,0,IF('Cost Margin'!$M31&lt;&gt;"",'Cost Margin'!$M31*F23/'Cost Margin'!$L31,F23*Settings!$B$5*IF('Cost Margin'!$F31="",1,'Cost Margin'!$F31)))</f>
        <v>0</v>
      </c>
      <c r="G45" s="35" t="n">
        <f aca="false">IF(G23=0,0,IF('Cost Margin'!$M31&lt;&gt;"",'Cost Margin'!$M31*G23/'Cost Margin'!$L31,G23*Settings!$B$5*IF('Cost Margin'!$F31="",1,'Cost Margin'!$F31)))</f>
        <v>0</v>
      </c>
      <c r="H45" s="35" t="n">
        <f aca="false">IF(H23=0,0,IF('Cost Margin'!$M31&lt;&gt;"",'Cost Margin'!$M31*H23/'Cost Margin'!$L31,H23*Settings!$B$5*IF('Cost Margin'!$F31="",1,'Cost Margin'!$F31)))</f>
        <v>0</v>
      </c>
      <c r="I45" s="35" t="n">
        <f aca="false">IF(I23=0,0,IF('Cost Margin'!$M31&lt;&gt;"",'Cost Margin'!$M31*I23/'Cost Margin'!$L31,I23*Settings!$B$5*IF('Cost Margin'!$F31="",1,'Cost Margin'!$F31)))</f>
        <v>0</v>
      </c>
      <c r="J45" s="35" t="n">
        <f aca="false">IF(J23=0,0,IF('Cost Margin'!$M31&lt;&gt;"",'Cost Margin'!$M31*J23/'Cost Margin'!$L31,J23*Settings!$B$5*IF('Cost Margin'!$F31="",1,'Cost Margin'!$F31)))</f>
        <v>0</v>
      </c>
      <c r="K45" s="35" t="n">
        <f aca="false">IF(K23=0,0,IF('Cost Margin'!$M31&lt;&gt;"",'Cost Margin'!$M31*K23/'Cost Margin'!$L31,K23*Settings!$B$5*IF('Cost Margin'!$F31="",1,'Cost Margin'!$F31)))</f>
        <v>0</v>
      </c>
      <c r="L45" s="35" t="n">
        <f aca="false">IF(L23=0,0,IF('Cost Margin'!$M31&lt;&gt;"",'Cost Margin'!$M31*L23/'Cost Margin'!$L31,L23*Settings!$B$5*IF('Cost Margin'!$F31="",1,'Cost Margin'!$F31)))</f>
        <v>0</v>
      </c>
      <c r="M45" s="35" t="n">
        <f aca="false">IF(M23=0,0,IF('Cost Margin'!$M31&lt;&gt;"",'Cost Margin'!$M31*M23/'Cost Margin'!$L31,M23*Settings!$B$5*IF('Cost Margin'!$F31="",1,'Cost Margin'!$F31)))</f>
        <v>0</v>
      </c>
      <c r="N45" s="35" t="n">
        <f aca="false">IF(N23=0,0,IF('Cost Margin'!$M31&lt;&gt;"",'Cost Margin'!$M31*N23/'Cost Margin'!$L31,N23*Settings!$B$5*IF('Cost Margin'!$F31="",1,'Cost Margin'!$F31)))</f>
        <v>0</v>
      </c>
      <c r="O45" s="35" t="n">
        <f aca="false">IF(O23=0,0,IF('Cost Margin'!$M31&lt;&gt;"",'Cost Margin'!$M31*O23/'Cost Margin'!$L31,O23*Settings!$B$5*IF('Cost Margin'!$F31="",1,'Cost Margin'!$F31)))</f>
        <v>0</v>
      </c>
      <c r="P45" s="35" t="n">
        <f aca="false">IF(P23=0,0,IF('Cost Margin'!$M31&lt;&gt;"",'Cost Margin'!$M31*P23/'Cost Margin'!$L31,P23*Settings!$B$5*IF('Cost Margin'!$F31="",1,'Cost Margin'!$F31)))</f>
        <v>0</v>
      </c>
      <c r="Q45" s="35" t="n">
        <f aca="false">IF(Q23=0,0,IF('Cost Margin'!$M31&lt;&gt;"",'Cost Margin'!$M31*Q23/'Cost Margin'!$L31,Q23*Settings!$B$5*IF('Cost Margin'!$F31="",1,'Cost Margin'!$F31)))</f>
        <v>0</v>
      </c>
      <c r="R45" s="35" t="n">
        <f aca="false">IF(R23=0,0,IF('Cost Margin'!$M31&lt;&gt;"",'Cost Margin'!$M31*R23/'Cost Margin'!$L31,R23*Settings!$B$5*IF('Cost Margin'!$F31="",1,'Cost Margin'!$F31)))</f>
        <v>0</v>
      </c>
      <c r="S45" s="35" t="n">
        <f aca="false">IF(S23=0,0,IF('Cost Margin'!$M31&lt;&gt;"",'Cost Margin'!$M31*S23/'Cost Margin'!$L31,S23*Settings!$B$5*IF('Cost Margin'!$F31="",1,'Cost Margin'!$F31)))</f>
        <v>0</v>
      </c>
      <c r="T45" s="35" t="n">
        <f aca="false">IF(T23=0,0,IF('Cost Margin'!$M31&lt;&gt;"",'Cost Margin'!$M31*T23/'Cost Margin'!$L31,T23*Settings!$B$5*IF('Cost Margin'!$F31="",1,'Cost Margin'!$F31)))</f>
        <v>0</v>
      </c>
      <c r="U45" s="35" t="n">
        <f aca="false">IF(U23=0,0,IF('Cost Margin'!$M31&lt;&gt;"",'Cost Margin'!$M31*U23/'Cost Margin'!$L31,U23*Settings!$B$5*IF('Cost Margin'!$F31="",1,'Cost Margin'!$F31)))</f>
        <v>0</v>
      </c>
      <c r="V45" s="35" t="n">
        <f aca="false">IF(V23=0,0,IF('Cost Margin'!$M31&lt;&gt;"",'Cost Margin'!$M31*V23/'Cost Margin'!$L31,V23*Settings!$B$5*IF('Cost Margin'!$F31="",1,'Cost Margin'!$F31)))</f>
        <v>0</v>
      </c>
      <c r="W45" s="35" t="n">
        <f aca="false">IF(W23=0,0,IF('Cost Margin'!$M31&lt;&gt;"",'Cost Margin'!$M31*W23/'Cost Margin'!$L31,W23*Settings!$B$5*IF('Cost Margin'!$F31="",1,'Cost Margin'!$F31)))</f>
        <v>0</v>
      </c>
      <c r="X45" s="35" t="n">
        <f aca="false">IF(X23=0,0,IF('Cost Margin'!$M31&lt;&gt;"",'Cost Margin'!$M31*X23/'Cost Margin'!$L31,X23*Settings!$B$5*IF('Cost Margin'!$F31="",1,'Cost Margin'!$F31)))</f>
        <v>0</v>
      </c>
      <c r="Y45" s="35" t="n">
        <f aca="false">IF(Y23=0,0,IF('Cost Margin'!$M31&lt;&gt;"",'Cost Margin'!$M31*Y23/'Cost Margin'!$L31,Y23*Settings!$B$5*IF('Cost Margin'!$F31="",1,'Cost Margin'!$F31)))</f>
        <v>0</v>
      </c>
      <c r="Z45" s="35" t="n">
        <f aca="false">IF(Z23=0,0,IF('Cost Margin'!$M31&lt;&gt;"",'Cost Margin'!$M31*Z23/'Cost Margin'!$L31,Z23*Settings!$B$5*IF('Cost Margin'!$F31="",1,'Cost Margin'!$F31)))</f>
        <v>0</v>
      </c>
      <c r="AB45" s="34" t="str">
        <f aca="false">IF('Cost Margin'!A31="","",IF('Cost Margin'!E31="","(unassigned)",'Cost Margin'!E31))</f>
        <v/>
      </c>
    </row>
    <row r="46" customFormat="false" ht="15" hidden="false" customHeight="false" outlineLevel="0" collapsed="false">
      <c r="A46" s="0" t="n">
        <v>16</v>
      </c>
      <c r="B46" s="34" t="str">
        <f aca="false">IF('Cost Margin'!A32="","",'Cost Margin'!A32&amp;IF('Cost Margin'!E32="",""," · "&amp;'Cost Margin'!E32))</f>
        <v/>
      </c>
      <c r="C46" s="35" t="n">
        <f aca="false">IF(C24=0,0,IF('Cost Margin'!$M32&lt;&gt;"",'Cost Margin'!$M32*C24/'Cost Margin'!$L32,C24*Settings!$B$5*IF('Cost Margin'!$F32="",1,'Cost Margin'!$F32)))</f>
        <v>0</v>
      </c>
      <c r="D46" s="35" t="n">
        <f aca="false">IF(D24=0,0,IF('Cost Margin'!$M32&lt;&gt;"",'Cost Margin'!$M32*D24/'Cost Margin'!$L32,D24*Settings!$B$5*IF('Cost Margin'!$F32="",1,'Cost Margin'!$F32)))</f>
        <v>0</v>
      </c>
      <c r="E46" s="35" t="n">
        <f aca="false">IF(E24=0,0,IF('Cost Margin'!$M32&lt;&gt;"",'Cost Margin'!$M32*E24/'Cost Margin'!$L32,E24*Settings!$B$5*IF('Cost Margin'!$F32="",1,'Cost Margin'!$F32)))</f>
        <v>0</v>
      </c>
      <c r="F46" s="35" t="n">
        <f aca="false">IF(F24=0,0,IF('Cost Margin'!$M32&lt;&gt;"",'Cost Margin'!$M32*F24/'Cost Margin'!$L32,F24*Settings!$B$5*IF('Cost Margin'!$F32="",1,'Cost Margin'!$F32)))</f>
        <v>0</v>
      </c>
      <c r="G46" s="35" t="n">
        <f aca="false">IF(G24=0,0,IF('Cost Margin'!$M32&lt;&gt;"",'Cost Margin'!$M32*G24/'Cost Margin'!$L32,G24*Settings!$B$5*IF('Cost Margin'!$F32="",1,'Cost Margin'!$F32)))</f>
        <v>0</v>
      </c>
      <c r="H46" s="35" t="n">
        <f aca="false">IF(H24=0,0,IF('Cost Margin'!$M32&lt;&gt;"",'Cost Margin'!$M32*H24/'Cost Margin'!$L32,H24*Settings!$B$5*IF('Cost Margin'!$F32="",1,'Cost Margin'!$F32)))</f>
        <v>0</v>
      </c>
      <c r="I46" s="35" t="n">
        <f aca="false">IF(I24=0,0,IF('Cost Margin'!$M32&lt;&gt;"",'Cost Margin'!$M32*I24/'Cost Margin'!$L32,I24*Settings!$B$5*IF('Cost Margin'!$F32="",1,'Cost Margin'!$F32)))</f>
        <v>0</v>
      </c>
      <c r="J46" s="35" t="n">
        <f aca="false">IF(J24=0,0,IF('Cost Margin'!$M32&lt;&gt;"",'Cost Margin'!$M32*J24/'Cost Margin'!$L32,J24*Settings!$B$5*IF('Cost Margin'!$F32="",1,'Cost Margin'!$F32)))</f>
        <v>0</v>
      </c>
      <c r="K46" s="35" t="n">
        <f aca="false">IF(K24=0,0,IF('Cost Margin'!$M32&lt;&gt;"",'Cost Margin'!$M32*K24/'Cost Margin'!$L32,K24*Settings!$B$5*IF('Cost Margin'!$F32="",1,'Cost Margin'!$F32)))</f>
        <v>0</v>
      </c>
      <c r="L46" s="35" t="n">
        <f aca="false">IF(L24=0,0,IF('Cost Margin'!$M32&lt;&gt;"",'Cost Margin'!$M32*L24/'Cost Margin'!$L32,L24*Settings!$B$5*IF('Cost Margin'!$F32="",1,'Cost Margin'!$F32)))</f>
        <v>0</v>
      </c>
      <c r="M46" s="35" t="n">
        <f aca="false">IF(M24=0,0,IF('Cost Margin'!$M32&lt;&gt;"",'Cost Margin'!$M32*M24/'Cost Margin'!$L32,M24*Settings!$B$5*IF('Cost Margin'!$F32="",1,'Cost Margin'!$F32)))</f>
        <v>0</v>
      </c>
      <c r="N46" s="35" t="n">
        <f aca="false">IF(N24=0,0,IF('Cost Margin'!$M32&lt;&gt;"",'Cost Margin'!$M32*N24/'Cost Margin'!$L32,N24*Settings!$B$5*IF('Cost Margin'!$F32="",1,'Cost Margin'!$F32)))</f>
        <v>0</v>
      </c>
      <c r="O46" s="35" t="n">
        <f aca="false">IF(O24=0,0,IF('Cost Margin'!$M32&lt;&gt;"",'Cost Margin'!$M32*O24/'Cost Margin'!$L32,O24*Settings!$B$5*IF('Cost Margin'!$F32="",1,'Cost Margin'!$F32)))</f>
        <v>0</v>
      </c>
      <c r="P46" s="35" t="n">
        <f aca="false">IF(P24=0,0,IF('Cost Margin'!$M32&lt;&gt;"",'Cost Margin'!$M32*P24/'Cost Margin'!$L32,P24*Settings!$B$5*IF('Cost Margin'!$F32="",1,'Cost Margin'!$F32)))</f>
        <v>0</v>
      </c>
      <c r="Q46" s="35" t="n">
        <f aca="false">IF(Q24=0,0,IF('Cost Margin'!$M32&lt;&gt;"",'Cost Margin'!$M32*Q24/'Cost Margin'!$L32,Q24*Settings!$B$5*IF('Cost Margin'!$F32="",1,'Cost Margin'!$F32)))</f>
        <v>0</v>
      </c>
      <c r="R46" s="35" t="n">
        <f aca="false">IF(R24=0,0,IF('Cost Margin'!$M32&lt;&gt;"",'Cost Margin'!$M32*R24/'Cost Margin'!$L32,R24*Settings!$B$5*IF('Cost Margin'!$F32="",1,'Cost Margin'!$F32)))</f>
        <v>0</v>
      </c>
      <c r="S46" s="35" t="n">
        <f aca="false">IF(S24=0,0,IF('Cost Margin'!$M32&lt;&gt;"",'Cost Margin'!$M32*S24/'Cost Margin'!$L32,S24*Settings!$B$5*IF('Cost Margin'!$F32="",1,'Cost Margin'!$F32)))</f>
        <v>0</v>
      </c>
      <c r="T46" s="35" t="n">
        <f aca="false">IF(T24=0,0,IF('Cost Margin'!$M32&lt;&gt;"",'Cost Margin'!$M32*T24/'Cost Margin'!$L32,T24*Settings!$B$5*IF('Cost Margin'!$F32="",1,'Cost Margin'!$F32)))</f>
        <v>0</v>
      </c>
      <c r="U46" s="35" t="n">
        <f aca="false">IF(U24=0,0,IF('Cost Margin'!$M32&lt;&gt;"",'Cost Margin'!$M32*U24/'Cost Margin'!$L32,U24*Settings!$B$5*IF('Cost Margin'!$F32="",1,'Cost Margin'!$F32)))</f>
        <v>0</v>
      </c>
      <c r="V46" s="35" t="n">
        <f aca="false">IF(V24=0,0,IF('Cost Margin'!$M32&lt;&gt;"",'Cost Margin'!$M32*V24/'Cost Margin'!$L32,V24*Settings!$B$5*IF('Cost Margin'!$F32="",1,'Cost Margin'!$F32)))</f>
        <v>0</v>
      </c>
      <c r="W46" s="35" t="n">
        <f aca="false">IF(W24=0,0,IF('Cost Margin'!$M32&lt;&gt;"",'Cost Margin'!$M32*W24/'Cost Margin'!$L32,W24*Settings!$B$5*IF('Cost Margin'!$F32="",1,'Cost Margin'!$F32)))</f>
        <v>0</v>
      </c>
      <c r="X46" s="35" t="n">
        <f aca="false">IF(X24=0,0,IF('Cost Margin'!$M32&lt;&gt;"",'Cost Margin'!$M32*X24/'Cost Margin'!$L32,X24*Settings!$B$5*IF('Cost Margin'!$F32="",1,'Cost Margin'!$F32)))</f>
        <v>0</v>
      </c>
      <c r="Y46" s="35" t="n">
        <f aca="false">IF(Y24=0,0,IF('Cost Margin'!$M32&lt;&gt;"",'Cost Margin'!$M32*Y24/'Cost Margin'!$L32,Y24*Settings!$B$5*IF('Cost Margin'!$F32="",1,'Cost Margin'!$F32)))</f>
        <v>0</v>
      </c>
      <c r="Z46" s="35" t="n">
        <f aca="false">IF(Z24=0,0,IF('Cost Margin'!$M32&lt;&gt;"",'Cost Margin'!$M32*Z24/'Cost Margin'!$L32,Z24*Settings!$B$5*IF('Cost Margin'!$F32="",1,'Cost Margin'!$F32)))</f>
        <v>0</v>
      </c>
      <c r="AB46" s="34" t="str">
        <f aca="false">IF('Cost Margin'!A32="","",IF('Cost Margin'!E32="","(unassigned)",'Cost Margin'!E32))</f>
        <v/>
      </c>
    </row>
    <row r="47" customFormat="false" ht="15" hidden="false" customHeight="false" outlineLevel="0" collapsed="false">
      <c r="A47" s="0" t="n">
        <v>17</v>
      </c>
      <c r="B47" s="34" t="str">
        <f aca="false">IF('Cost Margin'!A33="","",'Cost Margin'!A33&amp;IF('Cost Margin'!E33="",""," · "&amp;'Cost Margin'!E33))</f>
        <v/>
      </c>
      <c r="C47" s="35" t="n">
        <f aca="false">IF(C25=0,0,IF('Cost Margin'!$M33&lt;&gt;"",'Cost Margin'!$M33*C25/'Cost Margin'!$L33,C25*Settings!$B$5*IF('Cost Margin'!$F33="",1,'Cost Margin'!$F33)))</f>
        <v>0</v>
      </c>
      <c r="D47" s="35" t="n">
        <f aca="false">IF(D25=0,0,IF('Cost Margin'!$M33&lt;&gt;"",'Cost Margin'!$M33*D25/'Cost Margin'!$L33,D25*Settings!$B$5*IF('Cost Margin'!$F33="",1,'Cost Margin'!$F33)))</f>
        <v>0</v>
      </c>
      <c r="E47" s="35" t="n">
        <f aca="false">IF(E25=0,0,IF('Cost Margin'!$M33&lt;&gt;"",'Cost Margin'!$M33*E25/'Cost Margin'!$L33,E25*Settings!$B$5*IF('Cost Margin'!$F33="",1,'Cost Margin'!$F33)))</f>
        <v>0</v>
      </c>
      <c r="F47" s="35" t="n">
        <f aca="false">IF(F25=0,0,IF('Cost Margin'!$M33&lt;&gt;"",'Cost Margin'!$M33*F25/'Cost Margin'!$L33,F25*Settings!$B$5*IF('Cost Margin'!$F33="",1,'Cost Margin'!$F33)))</f>
        <v>0</v>
      </c>
      <c r="G47" s="35" t="n">
        <f aca="false">IF(G25=0,0,IF('Cost Margin'!$M33&lt;&gt;"",'Cost Margin'!$M33*G25/'Cost Margin'!$L33,G25*Settings!$B$5*IF('Cost Margin'!$F33="",1,'Cost Margin'!$F33)))</f>
        <v>0</v>
      </c>
      <c r="H47" s="35" t="n">
        <f aca="false">IF(H25=0,0,IF('Cost Margin'!$M33&lt;&gt;"",'Cost Margin'!$M33*H25/'Cost Margin'!$L33,H25*Settings!$B$5*IF('Cost Margin'!$F33="",1,'Cost Margin'!$F33)))</f>
        <v>0</v>
      </c>
      <c r="I47" s="35" t="n">
        <f aca="false">IF(I25=0,0,IF('Cost Margin'!$M33&lt;&gt;"",'Cost Margin'!$M33*I25/'Cost Margin'!$L33,I25*Settings!$B$5*IF('Cost Margin'!$F33="",1,'Cost Margin'!$F33)))</f>
        <v>0</v>
      </c>
      <c r="J47" s="35" t="n">
        <f aca="false">IF(J25=0,0,IF('Cost Margin'!$M33&lt;&gt;"",'Cost Margin'!$M33*J25/'Cost Margin'!$L33,J25*Settings!$B$5*IF('Cost Margin'!$F33="",1,'Cost Margin'!$F33)))</f>
        <v>0</v>
      </c>
      <c r="K47" s="35" t="n">
        <f aca="false">IF(K25=0,0,IF('Cost Margin'!$M33&lt;&gt;"",'Cost Margin'!$M33*K25/'Cost Margin'!$L33,K25*Settings!$B$5*IF('Cost Margin'!$F33="",1,'Cost Margin'!$F33)))</f>
        <v>0</v>
      </c>
      <c r="L47" s="35" t="n">
        <f aca="false">IF(L25=0,0,IF('Cost Margin'!$M33&lt;&gt;"",'Cost Margin'!$M33*L25/'Cost Margin'!$L33,L25*Settings!$B$5*IF('Cost Margin'!$F33="",1,'Cost Margin'!$F33)))</f>
        <v>0</v>
      </c>
      <c r="M47" s="35" t="n">
        <f aca="false">IF(M25=0,0,IF('Cost Margin'!$M33&lt;&gt;"",'Cost Margin'!$M33*M25/'Cost Margin'!$L33,M25*Settings!$B$5*IF('Cost Margin'!$F33="",1,'Cost Margin'!$F33)))</f>
        <v>0</v>
      </c>
      <c r="N47" s="35" t="n">
        <f aca="false">IF(N25=0,0,IF('Cost Margin'!$M33&lt;&gt;"",'Cost Margin'!$M33*N25/'Cost Margin'!$L33,N25*Settings!$B$5*IF('Cost Margin'!$F33="",1,'Cost Margin'!$F33)))</f>
        <v>0</v>
      </c>
      <c r="O47" s="35" t="n">
        <f aca="false">IF(O25=0,0,IF('Cost Margin'!$M33&lt;&gt;"",'Cost Margin'!$M33*O25/'Cost Margin'!$L33,O25*Settings!$B$5*IF('Cost Margin'!$F33="",1,'Cost Margin'!$F33)))</f>
        <v>0</v>
      </c>
      <c r="P47" s="35" t="n">
        <f aca="false">IF(P25=0,0,IF('Cost Margin'!$M33&lt;&gt;"",'Cost Margin'!$M33*P25/'Cost Margin'!$L33,P25*Settings!$B$5*IF('Cost Margin'!$F33="",1,'Cost Margin'!$F33)))</f>
        <v>0</v>
      </c>
      <c r="Q47" s="35" t="n">
        <f aca="false">IF(Q25=0,0,IF('Cost Margin'!$M33&lt;&gt;"",'Cost Margin'!$M33*Q25/'Cost Margin'!$L33,Q25*Settings!$B$5*IF('Cost Margin'!$F33="",1,'Cost Margin'!$F33)))</f>
        <v>0</v>
      </c>
      <c r="R47" s="35" t="n">
        <f aca="false">IF(R25=0,0,IF('Cost Margin'!$M33&lt;&gt;"",'Cost Margin'!$M33*R25/'Cost Margin'!$L33,R25*Settings!$B$5*IF('Cost Margin'!$F33="",1,'Cost Margin'!$F33)))</f>
        <v>0</v>
      </c>
      <c r="S47" s="35" t="n">
        <f aca="false">IF(S25=0,0,IF('Cost Margin'!$M33&lt;&gt;"",'Cost Margin'!$M33*S25/'Cost Margin'!$L33,S25*Settings!$B$5*IF('Cost Margin'!$F33="",1,'Cost Margin'!$F33)))</f>
        <v>0</v>
      </c>
      <c r="T47" s="35" t="n">
        <f aca="false">IF(T25=0,0,IF('Cost Margin'!$M33&lt;&gt;"",'Cost Margin'!$M33*T25/'Cost Margin'!$L33,T25*Settings!$B$5*IF('Cost Margin'!$F33="",1,'Cost Margin'!$F33)))</f>
        <v>0</v>
      </c>
      <c r="U47" s="35" t="n">
        <f aca="false">IF(U25=0,0,IF('Cost Margin'!$M33&lt;&gt;"",'Cost Margin'!$M33*U25/'Cost Margin'!$L33,U25*Settings!$B$5*IF('Cost Margin'!$F33="",1,'Cost Margin'!$F33)))</f>
        <v>0</v>
      </c>
      <c r="V47" s="35" t="n">
        <f aca="false">IF(V25=0,0,IF('Cost Margin'!$M33&lt;&gt;"",'Cost Margin'!$M33*V25/'Cost Margin'!$L33,V25*Settings!$B$5*IF('Cost Margin'!$F33="",1,'Cost Margin'!$F33)))</f>
        <v>0</v>
      </c>
      <c r="W47" s="35" t="n">
        <f aca="false">IF(W25=0,0,IF('Cost Margin'!$M33&lt;&gt;"",'Cost Margin'!$M33*W25/'Cost Margin'!$L33,W25*Settings!$B$5*IF('Cost Margin'!$F33="",1,'Cost Margin'!$F33)))</f>
        <v>0</v>
      </c>
      <c r="X47" s="35" t="n">
        <f aca="false">IF(X25=0,0,IF('Cost Margin'!$M33&lt;&gt;"",'Cost Margin'!$M33*X25/'Cost Margin'!$L33,X25*Settings!$B$5*IF('Cost Margin'!$F33="",1,'Cost Margin'!$F33)))</f>
        <v>0</v>
      </c>
      <c r="Y47" s="35" t="n">
        <f aca="false">IF(Y25=0,0,IF('Cost Margin'!$M33&lt;&gt;"",'Cost Margin'!$M33*Y25/'Cost Margin'!$L33,Y25*Settings!$B$5*IF('Cost Margin'!$F33="",1,'Cost Margin'!$F33)))</f>
        <v>0</v>
      </c>
      <c r="Z47" s="35" t="n">
        <f aca="false">IF(Z25=0,0,IF('Cost Margin'!$M33&lt;&gt;"",'Cost Margin'!$M33*Z25/'Cost Margin'!$L33,Z25*Settings!$B$5*IF('Cost Margin'!$F33="",1,'Cost Margin'!$F33)))</f>
        <v>0</v>
      </c>
      <c r="AB47" s="34" t="str">
        <f aca="false">IF('Cost Margin'!A33="","",IF('Cost Margin'!E33="","(unassigned)",'Cost Margin'!E33))</f>
        <v/>
      </c>
    </row>
    <row r="48" customFormat="false" ht="15" hidden="false" customHeight="false" outlineLevel="0" collapsed="false">
      <c r="A48" s="0" t="n">
        <v>18</v>
      </c>
      <c r="B48" s="34" t="str">
        <f aca="false">IF('Cost Margin'!A34="","",'Cost Margin'!A34&amp;IF('Cost Margin'!E34="",""," · "&amp;'Cost Margin'!E34))</f>
        <v/>
      </c>
      <c r="C48" s="35" t="n">
        <f aca="false">IF(C26=0,0,IF('Cost Margin'!$M34&lt;&gt;"",'Cost Margin'!$M34*C26/'Cost Margin'!$L34,C26*Settings!$B$5*IF('Cost Margin'!$F34="",1,'Cost Margin'!$F34)))</f>
        <v>0</v>
      </c>
      <c r="D48" s="35" t="n">
        <f aca="false">IF(D26=0,0,IF('Cost Margin'!$M34&lt;&gt;"",'Cost Margin'!$M34*D26/'Cost Margin'!$L34,D26*Settings!$B$5*IF('Cost Margin'!$F34="",1,'Cost Margin'!$F34)))</f>
        <v>0</v>
      </c>
      <c r="E48" s="35" t="n">
        <f aca="false">IF(E26=0,0,IF('Cost Margin'!$M34&lt;&gt;"",'Cost Margin'!$M34*E26/'Cost Margin'!$L34,E26*Settings!$B$5*IF('Cost Margin'!$F34="",1,'Cost Margin'!$F34)))</f>
        <v>0</v>
      </c>
      <c r="F48" s="35" t="n">
        <f aca="false">IF(F26=0,0,IF('Cost Margin'!$M34&lt;&gt;"",'Cost Margin'!$M34*F26/'Cost Margin'!$L34,F26*Settings!$B$5*IF('Cost Margin'!$F34="",1,'Cost Margin'!$F34)))</f>
        <v>0</v>
      </c>
      <c r="G48" s="35" t="n">
        <f aca="false">IF(G26=0,0,IF('Cost Margin'!$M34&lt;&gt;"",'Cost Margin'!$M34*G26/'Cost Margin'!$L34,G26*Settings!$B$5*IF('Cost Margin'!$F34="",1,'Cost Margin'!$F34)))</f>
        <v>0</v>
      </c>
      <c r="H48" s="35" t="n">
        <f aca="false">IF(H26=0,0,IF('Cost Margin'!$M34&lt;&gt;"",'Cost Margin'!$M34*H26/'Cost Margin'!$L34,H26*Settings!$B$5*IF('Cost Margin'!$F34="",1,'Cost Margin'!$F34)))</f>
        <v>0</v>
      </c>
      <c r="I48" s="35" t="n">
        <f aca="false">IF(I26=0,0,IF('Cost Margin'!$M34&lt;&gt;"",'Cost Margin'!$M34*I26/'Cost Margin'!$L34,I26*Settings!$B$5*IF('Cost Margin'!$F34="",1,'Cost Margin'!$F34)))</f>
        <v>0</v>
      </c>
      <c r="J48" s="35" t="n">
        <f aca="false">IF(J26=0,0,IF('Cost Margin'!$M34&lt;&gt;"",'Cost Margin'!$M34*J26/'Cost Margin'!$L34,J26*Settings!$B$5*IF('Cost Margin'!$F34="",1,'Cost Margin'!$F34)))</f>
        <v>0</v>
      </c>
      <c r="K48" s="35" t="n">
        <f aca="false">IF(K26=0,0,IF('Cost Margin'!$M34&lt;&gt;"",'Cost Margin'!$M34*K26/'Cost Margin'!$L34,K26*Settings!$B$5*IF('Cost Margin'!$F34="",1,'Cost Margin'!$F34)))</f>
        <v>0</v>
      </c>
      <c r="L48" s="35" t="n">
        <f aca="false">IF(L26=0,0,IF('Cost Margin'!$M34&lt;&gt;"",'Cost Margin'!$M34*L26/'Cost Margin'!$L34,L26*Settings!$B$5*IF('Cost Margin'!$F34="",1,'Cost Margin'!$F34)))</f>
        <v>0</v>
      </c>
      <c r="M48" s="35" t="n">
        <f aca="false">IF(M26=0,0,IF('Cost Margin'!$M34&lt;&gt;"",'Cost Margin'!$M34*M26/'Cost Margin'!$L34,M26*Settings!$B$5*IF('Cost Margin'!$F34="",1,'Cost Margin'!$F34)))</f>
        <v>0</v>
      </c>
      <c r="N48" s="35" t="n">
        <f aca="false">IF(N26=0,0,IF('Cost Margin'!$M34&lt;&gt;"",'Cost Margin'!$M34*N26/'Cost Margin'!$L34,N26*Settings!$B$5*IF('Cost Margin'!$F34="",1,'Cost Margin'!$F34)))</f>
        <v>0</v>
      </c>
      <c r="O48" s="35" t="n">
        <f aca="false">IF(O26=0,0,IF('Cost Margin'!$M34&lt;&gt;"",'Cost Margin'!$M34*O26/'Cost Margin'!$L34,O26*Settings!$B$5*IF('Cost Margin'!$F34="",1,'Cost Margin'!$F34)))</f>
        <v>0</v>
      </c>
      <c r="P48" s="35" t="n">
        <f aca="false">IF(P26=0,0,IF('Cost Margin'!$M34&lt;&gt;"",'Cost Margin'!$M34*P26/'Cost Margin'!$L34,P26*Settings!$B$5*IF('Cost Margin'!$F34="",1,'Cost Margin'!$F34)))</f>
        <v>0</v>
      </c>
      <c r="Q48" s="35" t="n">
        <f aca="false">IF(Q26=0,0,IF('Cost Margin'!$M34&lt;&gt;"",'Cost Margin'!$M34*Q26/'Cost Margin'!$L34,Q26*Settings!$B$5*IF('Cost Margin'!$F34="",1,'Cost Margin'!$F34)))</f>
        <v>0</v>
      </c>
      <c r="R48" s="35" t="n">
        <f aca="false">IF(R26=0,0,IF('Cost Margin'!$M34&lt;&gt;"",'Cost Margin'!$M34*R26/'Cost Margin'!$L34,R26*Settings!$B$5*IF('Cost Margin'!$F34="",1,'Cost Margin'!$F34)))</f>
        <v>0</v>
      </c>
      <c r="S48" s="35" t="n">
        <f aca="false">IF(S26=0,0,IF('Cost Margin'!$M34&lt;&gt;"",'Cost Margin'!$M34*S26/'Cost Margin'!$L34,S26*Settings!$B$5*IF('Cost Margin'!$F34="",1,'Cost Margin'!$F34)))</f>
        <v>0</v>
      </c>
      <c r="T48" s="35" t="n">
        <f aca="false">IF(T26=0,0,IF('Cost Margin'!$M34&lt;&gt;"",'Cost Margin'!$M34*T26/'Cost Margin'!$L34,T26*Settings!$B$5*IF('Cost Margin'!$F34="",1,'Cost Margin'!$F34)))</f>
        <v>0</v>
      </c>
      <c r="U48" s="35" t="n">
        <f aca="false">IF(U26=0,0,IF('Cost Margin'!$M34&lt;&gt;"",'Cost Margin'!$M34*U26/'Cost Margin'!$L34,U26*Settings!$B$5*IF('Cost Margin'!$F34="",1,'Cost Margin'!$F34)))</f>
        <v>0</v>
      </c>
      <c r="V48" s="35" t="n">
        <f aca="false">IF(V26=0,0,IF('Cost Margin'!$M34&lt;&gt;"",'Cost Margin'!$M34*V26/'Cost Margin'!$L34,V26*Settings!$B$5*IF('Cost Margin'!$F34="",1,'Cost Margin'!$F34)))</f>
        <v>0</v>
      </c>
      <c r="W48" s="35" t="n">
        <f aca="false">IF(W26=0,0,IF('Cost Margin'!$M34&lt;&gt;"",'Cost Margin'!$M34*W26/'Cost Margin'!$L34,W26*Settings!$B$5*IF('Cost Margin'!$F34="",1,'Cost Margin'!$F34)))</f>
        <v>0</v>
      </c>
      <c r="X48" s="35" t="n">
        <f aca="false">IF(X26=0,0,IF('Cost Margin'!$M34&lt;&gt;"",'Cost Margin'!$M34*X26/'Cost Margin'!$L34,X26*Settings!$B$5*IF('Cost Margin'!$F34="",1,'Cost Margin'!$F34)))</f>
        <v>0</v>
      </c>
      <c r="Y48" s="35" t="n">
        <f aca="false">IF(Y26=0,0,IF('Cost Margin'!$M34&lt;&gt;"",'Cost Margin'!$M34*Y26/'Cost Margin'!$L34,Y26*Settings!$B$5*IF('Cost Margin'!$F34="",1,'Cost Margin'!$F34)))</f>
        <v>0</v>
      </c>
      <c r="Z48" s="35" t="n">
        <f aca="false">IF(Z26=0,0,IF('Cost Margin'!$M34&lt;&gt;"",'Cost Margin'!$M34*Z26/'Cost Margin'!$L34,Z26*Settings!$B$5*IF('Cost Margin'!$F34="",1,'Cost Margin'!$F34)))</f>
        <v>0</v>
      </c>
      <c r="AB48" s="34" t="str">
        <f aca="false">IF('Cost Margin'!A34="","",IF('Cost Margin'!E34="","(unassigned)",'Cost Margin'!E34))</f>
        <v/>
      </c>
    </row>
    <row r="49" customFormat="false" ht="15" hidden="false" customHeight="false" outlineLevel="0" collapsed="false">
      <c r="A49" s="0" t="n">
        <v>19</v>
      </c>
      <c r="B49" s="34" t="str">
        <f aca="false">IF('Cost Margin'!A35="","",'Cost Margin'!A35&amp;IF('Cost Margin'!E35="",""," · "&amp;'Cost Margin'!E35))</f>
        <v/>
      </c>
      <c r="C49" s="35" t="n">
        <f aca="false">IF(C27=0,0,IF('Cost Margin'!$M35&lt;&gt;"",'Cost Margin'!$M35*C27/'Cost Margin'!$L35,C27*Settings!$B$5*IF('Cost Margin'!$F35="",1,'Cost Margin'!$F35)))</f>
        <v>0</v>
      </c>
      <c r="D49" s="35" t="n">
        <f aca="false">IF(D27=0,0,IF('Cost Margin'!$M35&lt;&gt;"",'Cost Margin'!$M35*D27/'Cost Margin'!$L35,D27*Settings!$B$5*IF('Cost Margin'!$F35="",1,'Cost Margin'!$F35)))</f>
        <v>0</v>
      </c>
      <c r="E49" s="35" t="n">
        <f aca="false">IF(E27=0,0,IF('Cost Margin'!$M35&lt;&gt;"",'Cost Margin'!$M35*E27/'Cost Margin'!$L35,E27*Settings!$B$5*IF('Cost Margin'!$F35="",1,'Cost Margin'!$F35)))</f>
        <v>0</v>
      </c>
      <c r="F49" s="35" t="n">
        <f aca="false">IF(F27=0,0,IF('Cost Margin'!$M35&lt;&gt;"",'Cost Margin'!$M35*F27/'Cost Margin'!$L35,F27*Settings!$B$5*IF('Cost Margin'!$F35="",1,'Cost Margin'!$F35)))</f>
        <v>0</v>
      </c>
      <c r="G49" s="35" t="n">
        <f aca="false">IF(G27=0,0,IF('Cost Margin'!$M35&lt;&gt;"",'Cost Margin'!$M35*G27/'Cost Margin'!$L35,G27*Settings!$B$5*IF('Cost Margin'!$F35="",1,'Cost Margin'!$F35)))</f>
        <v>0</v>
      </c>
      <c r="H49" s="35" t="n">
        <f aca="false">IF(H27=0,0,IF('Cost Margin'!$M35&lt;&gt;"",'Cost Margin'!$M35*H27/'Cost Margin'!$L35,H27*Settings!$B$5*IF('Cost Margin'!$F35="",1,'Cost Margin'!$F35)))</f>
        <v>0</v>
      </c>
      <c r="I49" s="35" t="n">
        <f aca="false">IF(I27=0,0,IF('Cost Margin'!$M35&lt;&gt;"",'Cost Margin'!$M35*I27/'Cost Margin'!$L35,I27*Settings!$B$5*IF('Cost Margin'!$F35="",1,'Cost Margin'!$F35)))</f>
        <v>0</v>
      </c>
      <c r="J49" s="35" t="n">
        <f aca="false">IF(J27=0,0,IF('Cost Margin'!$M35&lt;&gt;"",'Cost Margin'!$M35*J27/'Cost Margin'!$L35,J27*Settings!$B$5*IF('Cost Margin'!$F35="",1,'Cost Margin'!$F35)))</f>
        <v>0</v>
      </c>
      <c r="K49" s="35" t="n">
        <f aca="false">IF(K27=0,0,IF('Cost Margin'!$M35&lt;&gt;"",'Cost Margin'!$M35*K27/'Cost Margin'!$L35,K27*Settings!$B$5*IF('Cost Margin'!$F35="",1,'Cost Margin'!$F35)))</f>
        <v>0</v>
      </c>
      <c r="L49" s="35" t="n">
        <f aca="false">IF(L27=0,0,IF('Cost Margin'!$M35&lt;&gt;"",'Cost Margin'!$M35*L27/'Cost Margin'!$L35,L27*Settings!$B$5*IF('Cost Margin'!$F35="",1,'Cost Margin'!$F35)))</f>
        <v>0</v>
      </c>
      <c r="M49" s="35" t="n">
        <f aca="false">IF(M27=0,0,IF('Cost Margin'!$M35&lt;&gt;"",'Cost Margin'!$M35*M27/'Cost Margin'!$L35,M27*Settings!$B$5*IF('Cost Margin'!$F35="",1,'Cost Margin'!$F35)))</f>
        <v>0</v>
      </c>
      <c r="N49" s="35" t="n">
        <f aca="false">IF(N27=0,0,IF('Cost Margin'!$M35&lt;&gt;"",'Cost Margin'!$M35*N27/'Cost Margin'!$L35,N27*Settings!$B$5*IF('Cost Margin'!$F35="",1,'Cost Margin'!$F35)))</f>
        <v>0</v>
      </c>
      <c r="O49" s="35" t="n">
        <f aca="false">IF(O27=0,0,IF('Cost Margin'!$M35&lt;&gt;"",'Cost Margin'!$M35*O27/'Cost Margin'!$L35,O27*Settings!$B$5*IF('Cost Margin'!$F35="",1,'Cost Margin'!$F35)))</f>
        <v>0</v>
      </c>
      <c r="P49" s="35" t="n">
        <f aca="false">IF(P27=0,0,IF('Cost Margin'!$M35&lt;&gt;"",'Cost Margin'!$M35*P27/'Cost Margin'!$L35,P27*Settings!$B$5*IF('Cost Margin'!$F35="",1,'Cost Margin'!$F35)))</f>
        <v>0</v>
      </c>
      <c r="Q49" s="35" t="n">
        <f aca="false">IF(Q27=0,0,IF('Cost Margin'!$M35&lt;&gt;"",'Cost Margin'!$M35*Q27/'Cost Margin'!$L35,Q27*Settings!$B$5*IF('Cost Margin'!$F35="",1,'Cost Margin'!$F35)))</f>
        <v>0</v>
      </c>
      <c r="R49" s="35" t="n">
        <f aca="false">IF(R27=0,0,IF('Cost Margin'!$M35&lt;&gt;"",'Cost Margin'!$M35*R27/'Cost Margin'!$L35,R27*Settings!$B$5*IF('Cost Margin'!$F35="",1,'Cost Margin'!$F35)))</f>
        <v>0</v>
      </c>
      <c r="S49" s="35" t="n">
        <f aca="false">IF(S27=0,0,IF('Cost Margin'!$M35&lt;&gt;"",'Cost Margin'!$M35*S27/'Cost Margin'!$L35,S27*Settings!$B$5*IF('Cost Margin'!$F35="",1,'Cost Margin'!$F35)))</f>
        <v>0</v>
      </c>
      <c r="T49" s="35" t="n">
        <f aca="false">IF(T27=0,0,IF('Cost Margin'!$M35&lt;&gt;"",'Cost Margin'!$M35*T27/'Cost Margin'!$L35,T27*Settings!$B$5*IF('Cost Margin'!$F35="",1,'Cost Margin'!$F35)))</f>
        <v>0</v>
      </c>
      <c r="U49" s="35" t="n">
        <f aca="false">IF(U27=0,0,IF('Cost Margin'!$M35&lt;&gt;"",'Cost Margin'!$M35*U27/'Cost Margin'!$L35,U27*Settings!$B$5*IF('Cost Margin'!$F35="",1,'Cost Margin'!$F35)))</f>
        <v>0</v>
      </c>
      <c r="V49" s="35" t="n">
        <f aca="false">IF(V27=0,0,IF('Cost Margin'!$M35&lt;&gt;"",'Cost Margin'!$M35*V27/'Cost Margin'!$L35,V27*Settings!$B$5*IF('Cost Margin'!$F35="",1,'Cost Margin'!$F35)))</f>
        <v>0</v>
      </c>
      <c r="W49" s="35" t="n">
        <f aca="false">IF(W27=0,0,IF('Cost Margin'!$M35&lt;&gt;"",'Cost Margin'!$M35*W27/'Cost Margin'!$L35,W27*Settings!$B$5*IF('Cost Margin'!$F35="",1,'Cost Margin'!$F35)))</f>
        <v>0</v>
      </c>
      <c r="X49" s="35" t="n">
        <f aca="false">IF(X27=0,0,IF('Cost Margin'!$M35&lt;&gt;"",'Cost Margin'!$M35*X27/'Cost Margin'!$L35,X27*Settings!$B$5*IF('Cost Margin'!$F35="",1,'Cost Margin'!$F35)))</f>
        <v>0</v>
      </c>
      <c r="Y49" s="35" t="n">
        <f aca="false">IF(Y27=0,0,IF('Cost Margin'!$M35&lt;&gt;"",'Cost Margin'!$M35*Y27/'Cost Margin'!$L35,Y27*Settings!$B$5*IF('Cost Margin'!$F35="",1,'Cost Margin'!$F35)))</f>
        <v>0</v>
      </c>
      <c r="Z49" s="35" t="n">
        <f aca="false">IF(Z27=0,0,IF('Cost Margin'!$M35&lt;&gt;"",'Cost Margin'!$M35*Z27/'Cost Margin'!$L35,Z27*Settings!$B$5*IF('Cost Margin'!$F35="",1,'Cost Margin'!$F35)))</f>
        <v>0</v>
      </c>
      <c r="AB49" s="34" t="str">
        <f aca="false">IF('Cost Margin'!A35="","",IF('Cost Margin'!E35="","(unassigned)",'Cost Margin'!E35))</f>
        <v/>
      </c>
    </row>
    <row r="50" customFormat="false" ht="15" hidden="false" customHeight="false" outlineLevel="0" collapsed="false">
      <c r="A50" s="0" t="n">
        <v>20</v>
      </c>
      <c r="B50" s="34" t="str">
        <f aca="false">IF('Cost Margin'!A36="","",'Cost Margin'!A36&amp;IF('Cost Margin'!E36="",""," · "&amp;'Cost Margin'!E36))</f>
        <v/>
      </c>
      <c r="C50" s="35" t="n">
        <f aca="false">IF(C28=0,0,IF('Cost Margin'!$M36&lt;&gt;"",'Cost Margin'!$M36*C28/'Cost Margin'!$L36,C28*Settings!$B$5*IF('Cost Margin'!$F36="",1,'Cost Margin'!$F36)))</f>
        <v>0</v>
      </c>
      <c r="D50" s="35" t="n">
        <f aca="false">IF(D28=0,0,IF('Cost Margin'!$M36&lt;&gt;"",'Cost Margin'!$M36*D28/'Cost Margin'!$L36,D28*Settings!$B$5*IF('Cost Margin'!$F36="",1,'Cost Margin'!$F36)))</f>
        <v>0</v>
      </c>
      <c r="E50" s="35" t="n">
        <f aca="false">IF(E28=0,0,IF('Cost Margin'!$M36&lt;&gt;"",'Cost Margin'!$M36*E28/'Cost Margin'!$L36,E28*Settings!$B$5*IF('Cost Margin'!$F36="",1,'Cost Margin'!$F36)))</f>
        <v>0</v>
      </c>
      <c r="F50" s="35" t="n">
        <f aca="false">IF(F28=0,0,IF('Cost Margin'!$M36&lt;&gt;"",'Cost Margin'!$M36*F28/'Cost Margin'!$L36,F28*Settings!$B$5*IF('Cost Margin'!$F36="",1,'Cost Margin'!$F36)))</f>
        <v>0</v>
      </c>
      <c r="G50" s="35" t="n">
        <f aca="false">IF(G28=0,0,IF('Cost Margin'!$M36&lt;&gt;"",'Cost Margin'!$M36*G28/'Cost Margin'!$L36,G28*Settings!$B$5*IF('Cost Margin'!$F36="",1,'Cost Margin'!$F36)))</f>
        <v>0</v>
      </c>
      <c r="H50" s="35" t="n">
        <f aca="false">IF(H28=0,0,IF('Cost Margin'!$M36&lt;&gt;"",'Cost Margin'!$M36*H28/'Cost Margin'!$L36,H28*Settings!$B$5*IF('Cost Margin'!$F36="",1,'Cost Margin'!$F36)))</f>
        <v>0</v>
      </c>
      <c r="I50" s="35" t="n">
        <f aca="false">IF(I28=0,0,IF('Cost Margin'!$M36&lt;&gt;"",'Cost Margin'!$M36*I28/'Cost Margin'!$L36,I28*Settings!$B$5*IF('Cost Margin'!$F36="",1,'Cost Margin'!$F36)))</f>
        <v>0</v>
      </c>
      <c r="J50" s="35" t="n">
        <f aca="false">IF(J28=0,0,IF('Cost Margin'!$M36&lt;&gt;"",'Cost Margin'!$M36*J28/'Cost Margin'!$L36,J28*Settings!$B$5*IF('Cost Margin'!$F36="",1,'Cost Margin'!$F36)))</f>
        <v>0</v>
      </c>
      <c r="K50" s="35" t="n">
        <f aca="false">IF(K28=0,0,IF('Cost Margin'!$M36&lt;&gt;"",'Cost Margin'!$M36*K28/'Cost Margin'!$L36,K28*Settings!$B$5*IF('Cost Margin'!$F36="",1,'Cost Margin'!$F36)))</f>
        <v>0</v>
      </c>
      <c r="L50" s="35" t="n">
        <f aca="false">IF(L28=0,0,IF('Cost Margin'!$M36&lt;&gt;"",'Cost Margin'!$M36*L28/'Cost Margin'!$L36,L28*Settings!$B$5*IF('Cost Margin'!$F36="",1,'Cost Margin'!$F36)))</f>
        <v>0</v>
      </c>
      <c r="M50" s="35" t="n">
        <f aca="false">IF(M28=0,0,IF('Cost Margin'!$M36&lt;&gt;"",'Cost Margin'!$M36*M28/'Cost Margin'!$L36,M28*Settings!$B$5*IF('Cost Margin'!$F36="",1,'Cost Margin'!$F36)))</f>
        <v>0</v>
      </c>
      <c r="N50" s="35" t="n">
        <f aca="false">IF(N28=0,0,IF('Cost Margin'!$M36&lt;&gt;"",'Cost Margin'!$M36*N28/'Cost Margin'!$L36,N28*Settings!$B$5*IF('Cost Margin'!$F36="",1,'Cost Margin'!$F36)))</f>
        <v>0</v>
      </c>
      <c r="O50" s="35" t="n">
        <f aca="false">IF(O28=0,0,IF('Cost Margin'!$M36&lt;&gt;"",'Cost Margin'!$M36*O28/'Cost Margin'!$L36,O28*Settings!$B$5*IF('Cost Margin'!$F36="",1,'Cost Margin'!$F36)))</f>
        <v>0</v>
      </c>
      <c r="P50" s="35" t="n">
        <f aca="false">IF(P28=0,0,IF('Cost Margin'!$M36&lt;&gt;"",'Cost Margin'!$M36*P28/'Cost Margin'!$L36,P28*Settings!$B$5*IF('Cost Margin'!$F36="",1,'Cost Margin'!$F36)))</f>
        <v>0</v>
      </c>
      <c r="Q50" s="35" t="n">
        <f aca="false">IF(Q28=0,0,IF('Cost Margin'!$M36&lt;&gt;"",'Cost Margin'!$M36*Q28/'Cost Margin'!$L36,Q28*Settings!$B$5*IF('Cost Margin'!$F36="",1,'Cost Margin'!$F36)))</f>
        <v>0</v>
      </c>
      <c r="R50" s="35" t="n">
        <f aca="false">IF(R28=0,0,IF('Cost Margin'!$M36&lt;&gt;"",'Cost Margin'!$M36*R28/'Cost Margin'!$L36,R28*Settings!$B$5*IF('Cost Margin'!$F36="",1,'Cost Margin'!$F36)))</f>
        <v>0</v>
      </c>
      <c r="S50" s="35" t="n">
        <f aca="false">IF(S28=0,0,IF('Cost Margin'!$M36&lt;&gt;"",'Cost Margin'!$M36*S28/'Cost Margin'!$L36,S28*Settings!$B$5*IF('Cost Margin'!$F36="",1,'Cost Margin'!$F36)))</f>
        <v>0</v>
      </c>
      <c r="T50" s="35" t="n">
        <f aca="false">IF(T28=0,0,IF('Cost Margin'!$M36&lt;&gt;"",'Cost Margin'!$M36*T28/'Cost Margin'!$L36,T28*Settings!$B$5*IF('Cost Margin'!$F36="",1,'Cost Margin'!$F36)))</f>
        <v>0</v>
      </c>
      <c r="U50" s="35" t="n">
        <f aca="false">IF(U28=0,0,IF('Cost Margin'!$M36&lt;&gt;"",'Cost Margin'!$M36*U28/'Cost Margin'!$L36,U28*Settings!$B$5*IF('Cost Margin'!$F36="",1,'Cost Margin'!$F36)))</f>
        <v>0</v>
      </c>
      <c r="V50" s="35" t="n">
        <f aca="false">IF(V28=0,0,IF('Cost Margin'!$M36&lt;&gt;"",'Cost Margin'!$M36*V28/'Cost Margin'!$L36,V28*Settings!$B$5*IF('Cost Margin'!$F36="",1,'Cost Margin'!$F36)))</f>
        <v>0</v>
      </c>
      <c r="W50" s="35" t="n">
        <f aca="false">IF(W28=0,0,IF('Cost Margin'!$M36&lt;&gt;"",'Cost Margin'!$M36*W28/'Cost Margin'!$L36,W28*Settings!$B$5*IF('Cost Margin'!$F36="",1,'Cost Margin'!$F36)))</f>
        <v>0</v>
      </c>
      <c r="X50" s="35" t="n">
        <f aca="false">IF(X28=0,0,IF('Cost Margin'!$M36&lt;&gt;"",'Cost Margin'!$M36*X28/'Cost Margin'!$L36,X28*Settings!$B$5*IF('Cost Margin'!$F36="",1,'Cost Margin'!$F36)))</f>
        <v>0</v>
      </c>
      <c r="Y50" s="35" t="n">
        <f aca="false">IF(Y28=0,0,IF('Cost Margin'!$M36&lt;&gt;"",'Cost Margin'!$M36*Y28/'Cost Margin'!$L36,Y28*Settings!$B$5*IF('Cost Margin'!$F36="",1,'Cost Margin'!$F36)))</f>
        <v>0</v>
      </c>
      <c r="Z50" s="35" t="n">
        <f aca="false">IF(Z28=0,0,IF('Cost Margin'!$M36&lt;&gt;"",'Cost Margin'!$M36*Z28/'Cost Margin'!$L36,Z28*Settings!$B$5*IF('Cost Margin'!$F36="",1,'Cost Margin'!$F36)))</f>
        <v>0</v>
      </c>
      <c r="AB50" s="34" t="str">
        <f aca="false">IF('Cost Margin'!A36="","",IF('Cost Margin'!E36="","(unassigned)",'Cost Margin'!E36))</f>
        <v/>
      </c>
    </row>
    <row r="52" customFormat="false" ht="15" hidden="false" customHeight="false" outlineLevel="0" collapsed="false">
      <c r="A52" s="3" t="s">
        <v>145</v>
      </c>
      <c r="AB52" s="13" t="s">
        <v>143</v>
      </c>
    </row>
    <row r="53" customFormat="false" ht="15" hidden="false" customHeight="false" outlineLevel="0" collapsed="false">
      <c r="A53" s="0" t="n">
        <v>1</v>
      </c>
      <c r="B53" s="34" t="str">
        <f aca="false">IF('Cost Margin'!A17="","",'Cost Margin'!A17&amp;IF('Cost Margin'!E17="",""," · "&amp;'Cost Margin'!E17))</f>
        <v/>
      </c>
      <c r="C53" s="7" t="n">
        <f aca="false">IF(OR('Cost Margin'!$B$4="Time &amp; materials",'Cost Margin'!$B$4="Staff augmentation"),C31*IF('Cost Margin'!$H17="",0,'Cost Margin'!$H17),0)</f>
        <v>0</v>
      </c>
      <c r="D53" s="7" t="n">
        <f aca="false">IF(OR('Cost Margin'!$B$4="Time &amp; materials",'Cost Margin'!$B$4="Staff augmentation"),D31*IF('Cost Margin'!$H17="",0,'Cost Margin'!$H17),0)</f>
        <v>0</v>
      </c>
      <c r="E53" s="7" t="n">
        <f aca="false">IF(OR('Cost Margin'!$B$4="Time &amp; materials",'Cost Margin'!$B$4="Staff augmentation"),E31*IF('Cost Margin'!$H17="",0,'Cost Margin'!$H17),0)</f>
        <v>0</v>
      </c>
      <c r="F53" s="7" t="n">
        <f aca="false">IF(OR('Cost Margin'!$B$4="Time &amp; materials",'Cost Margin'!$B$4="Staff augmentation"),F31*IF('Cost Margin'!$H17="",0,'Cost Margin'!$H17),0)</f>
        <v>0</v>
      </c>
      <c r="G53" s="7" t="n">
        <f aca="false">IF(OR('Cost Margin'!$B$4="Time &amp; materials",'Cost Margin'!$B$4="Staff augmentation"),G31*IF('Cost Margin'!$H17="",0,'Cost Margin'!$H17),0)</f>
        <v>0</v>
      </c>
      <c r="H53" s="7" t="n">
        <f aca="false">IF(OR('Cost Margin'!$B$4="Time &amp; materials",'Cost Margin'!$B$4="Staff augmentation"),H31*IF('Cost Margin'!$H17="",0,'Cost Margin'!$H17),0)</f>
        <v>0</v>
      </c>
      <c r="I53" s="7" t="n">
        <f aca="false">IF(OR('Cost Margin'!$B$4="Time &amp; materials",'Cost Margin'!$B$4="Staff augmentation"),I31*IF('Cost Margin'!$H17="",0,'Cost Margin'!$H17),0)</f>
        <v>0</v>
      </c>
      <c r="J53" s="7" t="n">
        <f aca="false">IF(OR('Cost Margin'!$B$4="Time &amp; materials",'Cost Margin'!$B$4="Staff augmentation"),J31*IF('Cost Margin'!$H17="",0,'Cost Margin'!$H17),0)</f>
        <v>0</v>
      </c>
      <c r="K53" s="7" t="n">
        <f aca="false">IF(OR('Cost Margin'!$B$4="Time &amp; materials",'Cost Margin'!$B$4="Staff augmentation"),K31*IF('Cost Margin'!$H17="",0,'Cost Margin'!$H17),0)</f>
        <v>0</v>
      </c>
      <c r="L53" s="7" t="n">
        <f aca="false">IF(OR('Cost Margin'!$B$4="Time &amp; materials",'Cost Margin'!$B$4="Staff augmentation"),L31*IF('Cost Margin'!$H17="",0,'Cost Margin'!$H17),0)</f>
        <v>0</v>
      </c>
      <c r="M53" s="7" t="n">
        <f aca="false">IF(OR('Cost Margin'!$B$4="Time &amp; materials",'Cost Margin'!$B$4="Staff augmentation"),M31*IF('Cost Margin'!$H17="",0,'Cost Margin'!$H17),0)</f>
        <v>0</v>
      </c>
      <c r="N53" s="7" t="n">
        <f aca="false">IF(OR('Cost Margin'!$B$4="Time &amp; materials",'Cost Margin'!$B$4="Staff augmentation"),N31*IF('Cost Margin'!$H17="",0,'Cost Margin'!$H17),0)</f>
        <v>0</v>
      </c>
      <c r="O53" s="7" t="n">
        <f aca="false">IF(OR('Cost Margin'!$B$4="Time &amp; materials",'Cost Margin'!$B$4="Staff augmentation"),O31*IF('Cost Margin'!$H17="",0,'Cost Margin'!$H17),0)</f>
        <v>0</v>
      </c>
      <c r="P53" s="7" t="n">
        <f aca="false">IF(OR('Cost Margin'!$B$4="Time &amp; materials",'Cost Margin'!$B$4="Staff augmentation"),P31*IF('Cost Margin'!$H17="",0,'Cost Margin'!$H17),0)</f>
        <v>0</v>
      </c>
      <c r="Q53" s="7" t="n">
        <f aca="false">IF(OR('Cost Margin'!$B$4="Time &amp; materials",'Cost Margin'!$B$4="Staff augmentation"),Q31*IF('Cost Margin'!$H17="",0,'Cost Margin'!$H17),0)</f>
        <v>0</v>
      </c>
      <c r="R53" s="7" t="n">
        <f aca="false">IF(OR('Cost Margin'!$B$4="Time &amp; materials",'Cost Margin'!$B$4="Staff augmentation"),R31*IF('Cost Margin'!$H17="",0,'Cost Margin'!$H17),0)</f>
        <v>0</v>
      </c>
      <c r="S53" s="7" t="n">
        <f aca="false">IF(OR('Cost Margin'!$B$4="Time &amp; materials",'Cost Margin'!$B$4="Staff augmentation"),S31*IF('Cost Margin'!$H17="",0,'Cost Margin'!$H17),0)</f>
        <v>0</v>
      </c>
      <c r="T53" s="7" t="n">
        <f aca="false">IF(OR('Cost Margin'!$B$4="Time &amp; materials",'Cost Margin'!$B$4="Staff augmentation"),T31*IF('Cost Margin'!$H17="",0,'Cost Margin'!$H17),0)</f>
        <v>0</v>
      </c>
      <c r="U53" s="7" t="n">
        <f aca="false">IF(OR('Cost Margin'!$B$4="Time &amp; materials",'Cost Margin'!$B$4="Staff augmentation"),U31*IF('Cost Margin'!$H17="",0,'Cost Margin'!$H17),0)</f>
        <v>0</v>
      </c>
      <c r="V53" s="7" t="n">
        <f aca="false">IF(OR('Cost Margin'!$B$4="Time &amp; materials",'Cost Margin'!$B$4="Staff augmentation"),V31*IF('Cost Margin'!$H17="",0,'Cost Margin'!$H17),0)</f>
        <v>0</v>
      </c>
      <c r="W53" s="7" t="n">
        <f aca="false">IF(OR('Cost Margin'!$B$4="Time &amp; materials",'Cost Margin'!$B$4="Staff augmentation"),W31*IF('Cost Margin'!$H17="",0,'Cost Margin'!$H17),0)</f>
        <v>0</v>
      </c>
      <c r="X53" s="7" t="n">
        <f aca="false">IF(OR('Cost Margin'!$B$4="Time &amp; materials",'Cost Margin'!$B$4="Staff augmentation"),X31*IF('Cost Margin'!$H17="",0,'Cost Margin'!$H17),0)</f>
        <v>0</v>
      </c>
      <c r="Y53" s="7" t="n">
        <f aca="false">IF(OR('Cost Margin'!$B$4="Time &amp; materials",'Cost Margin'!$B$4="Staff augmentation"),Y31*IF('Cost Margin'!$H17="",0,'Cost Margin'!$H17),0)</f>
        <v>0</v>
      </c>
      <c r="Z53" s="7" t="n">
        <f aca="false">IF(OR('Cost Margin'!$B$4="Time &amp; materials",'Cost Margin'!$B$4="Staff augmentation"),Z31*IF('Cost Margin'!$H17="",0,'Cost Margin'!$H17),0)</f>
        <v>0</v>
      </c>
      <c r="AB53" s="34" t="str">
        <f aca="false">IF('Cost Margin'!A17="","",IF('Cost Margin'!E17="","(unassigned)",'Cost Margin'!E17))</f>
        <v/>
      </c>
    </row>
    <row r="54" customFormat="false" ht="15" hidden="false" customHeight="false" outlineLevel="0" collapsed="false">
      <c r="A54" s="0" t="n">
        <v>2</v>
      </c>
      <c r="B54" s="34" t="str">
        <f aca="false">IF('Cost Margin'!A18="","",'Cost Margin'!A18&amp;IF('Cost Margin'!E18="",""," · "&amp;'Cost Margin'!E18))</f>
        <v/>
      </c>
      <c r="C54" s="7" t="n">
        <f aca="false">IF(OR('Cost Margin'!$B$4="Time &amp; materials",'Cost Margin'!$B$4="Staff augmentation"),C32*IF('Cost Margin'!$H18="",0,'Cost Margin'!$H18),0)</f>
        <v>0</v>
      </c>
      <c r="D54" s="7" t="n">
        <f aca="false">IF(OR('Cost Margin'!$B$4="Time &amp; materials",'Cost Margin'!$B$4="Staff augmentation"),D32*IF('Cost Margin'!$H18="",0,'Cost Margin'!$H18),0)</f>
        <v>0</v>
      </c>
      <c r="E54" s="7" t="n">
        <f aca="false">IF(OR('Cost Margin'!$B$4="Time &amp; materials",'Cost Margin'!$B$4="Staff augmentation"),E32*IF('Cost Margin'!$H18="",0,'Cost Margin'!$H18),0)</f>
        <v>0</v>
      </c>
      <c r="F54" s="7" t="n">
        <f aca="false">IF(OR('Cost Margin'!$B$4="Time &amp; materials",'Cost Margin'!$B$4="Staff augmentation"),F32*IF('Cost Margin'!$H18="",0,'Cost Margin'!$H18),0)</f>
        <v>0</v>
      </c>
      <c r="G54" s="7" t="n">
        <f aca="false">IF(OR('Cost Margin'!$B$4="Time &amp; materials",'Cost Margin'!$B$4="Staff augmentation"),G32*IF('Cost Margin'!$H18="",0,'Cost Margin'!$H18),0)</f>
        <v>0</v>
      </c>
      <c r="H54" s="7" t="n">
        <f aca="false">IF(OR('Cost Margin'!$B$4="Time &amp; materials",'Cost Margin'!$B$4="Staff augmentation"),H32*IF('Cost Margin'!$H18="",0,'Cost Margin'!$H18),0)</f>
        <v>0</v>
      </c>
      <c r="I54" s="7" t="n">
        <f aca="false">IF(OR('Cost Margin'!$B$4="Time &amp; materials",'Cost Margin'!$B$4="Staff augmentation"),I32*IF('Cost Margin'!$H18="",0,'Cost Margin'!$H18),0)</f>
        <v>0</v>
      </c>
      <c r="J54" s="7" t="n">
        <f aca="false">IF(OR('Cost Margin'!$B$4="Time &amp; materials",'Cost Margin'!$B$4="Staff augmentation"),J32*IF('Cost Margin'!$H18="",0,'Cost Margin'!$H18),0)</f>
        <v>0</v>
      </c>
      <c r="K54" s="7" t="n">
        <f aca="false">IF(OR('Cost Margin'!$B$4="Time &amp; materials",'Cost Margin'!$B$4="Staff augmentation"),K32*IF('Cost Margin'!$H18="",0,'Cost Margin'!$H18),0)</f>
        <v>0</v>
      </c>
      <c r="L54" s="7" t="n">
        <f aca="false">IF(OR('Cost Margin'!$B$4="Time &amp; materials",'Cost Margin'!$B$4="Staff augmentation"),L32*IF('Cost Margin'!$H18="",0,'Cost Margin'!$H18),0)</f>
        <v>0</v>
      </c>
      <c r="M54" s="7" t="n">
        <f aca="false">IF(OR('Cost Margin'!$B$4="Time &amp; materials",'Cost Margin'!$B$4="Staff augmentation"),M32*IF('Cost Margin'!$H18="",0,'Cost Margin'!$H18),0)</f>
        <v>0</v>
      </c>
      <c r="N54" s="7" t="n">
        <f aca="false">IF(OR('Cost Margin'!$B$4="Time &amp; materials",'Cost Margin'!$B$4="Staff augmentation"),N32*IF('Cost Margin'!$H18="",0,'Cost Margin'!$H18),0)</f>
        <v>0</v>
      </c>
      <c r="O54" s="7" t="n">
        <f aca="false">IF(OR('Cost Margin'!$B$4="Time &amp; materials",'Cost Margin'!$B$4="Staff augmentation"),O32*IF('Cost Margin'!$H18="",0,'Cost Margin'!$H18),0)</f>
        <v>0</v>
      </c>
      <c r="P54" s="7" t="n">
        <f aca="false">IF(OR('Cost Margin'!$B$4="Time &amp; materials",'Cost Margin'!$B$4="Staff augmentation"),P32*IF('Cost Margin'!$H18="",0,'Cost Margin'!$H18),0)</f>
        <v>0</v>
      </c>
      <c r="Q54" s="7" t="n">
        <f aca="false">IF(OR('Cost Margin'!$B$4="Time &amp; materials",'Cost Margin'!$B$4="Staff augmentation"),Q32*IF('Cost Margin'!$H18="",0,'Cost Margin'!$H18),0)</f>
        <v>0</v>
      </c>
      <c r="R54" s="7" t="n">
        <f aca="false">IF(OR('Cost Margin'!$B$4="Time &amp; materials",'Cost Margin'!$B$4="Staff augmentation"),R32*IF('Cost Margin'!$H18="",0,'Cost Margin'!$H18),0)</f>
        <v>0</v>
      </c>
      <c r="S54" s="7" t="n">
        <f aca="false">IF(OR('Cost Margin'!$B$4="Time &amp; materials",'Cost Margin'!$B$4="Staff augmentation"),S32*IF('Cost Margin'!$H18="",0,'Cost Margin'!$H18),0)</f>
        <v>0</v>
      </c>
      <c r="T54" s="7" t="n">
        <f aca="false">IF(OR('Cost Margin'!$B$4="Time &amp; materials",'Cost Margin'!$B$4="Staff augmentation"),T32*IF('Cost Margin'!$H18="",0,'Cost Margin'!$H18),0)</f>
        <v>0</v>
      </c>
      <c r="U54" s="7" t="n">
        <f aca="false">IF(OR('Cost Margin'!$B$4="Time &amp; materials",'Cost Margin'!$B$4="Staff augmentation"),U32*IF('Cost Margin'!$H18="",0,'Cost Margin'!$H18),0)</f>
        <v>0</v>
      </c>
      <c r="V54" s="7" t="n">
        <f aca="false">IF(OR('Cost Margin'!$B$4="Time &amp; materials",'Cost Margin'!$B$4="Staff augmentation"),V32*IF('Cost Margin'!$H18="",0,'Cost Margin'!$H18),0)</f>
        <v>0</v>
      </c>
      <c r="W54" s="7" t="n">
        <f aca="false">IF(OR('Cost Margin'!$B$4="Time &amp; materials",'Cost Margin'!$B$4="Staff augmentation"),W32*IF('Cost Margin'!$H18="",0,'Cost Margin'!$H18),0)</f>
        <v>0</v>
      </c>
      <c r="X54" s="7" t="n">
        <f aca="false">IF(OR('Cost Margin'!$B$4="Time &amp; materials",'Cost Margin'!$B$4="Staff augmentation"),X32*IF('Cost Margin'!$H18="",0,'Cost Margin'!$H18),0)</f>
        <v>0</v>
      </c>
      <c r="Y54" s="7" t="n">
        <f aca="false">IF(OR('Cost Margin'!$B$4="Time &amp; materials",'Cost Margin'!$B$4="Staff augmentation"),Y32*IF('Cost Margin'!$H18="",0,'Cost Margin'!$H18),0)</f>
        <v>0</v>
      </c>
      <c r="Z54" s="7" t="n">
        <f aca="false">IF(OR('Cost Margin'!$B$4="Time &amp; materials",'Cost Margin'!$B$4="Staff augmentation"),Z32*IF('Cost Margin'!$H18="",0,'Cost Margin'!$H18),0)</f>
        <v>0</v>
      </c>
      <c r="AB54" s="34" t="str">
        <f aca="false">IF('Cost Margin'!A18="","",IF('Cost Margin'!E18="","(unassigned)",'Cost Margin'!E18))</f>
        <v/>
      </c>
    </row>
    <row r="55" customFormat="false" ht="15" hidden="false" customHeight="false" outlineLevel="0" collapsed="false">
      <c r="A55" s="0" t="n">
        <v>3</v>
      </c>
      <c r="B55" s="34" t="str">
        <f aca="false">IF('Cost Margin'!A19="","",'Cost Margin'!A19&amp;IF('Cost Margin'!E19="",""," · "&amp;'Cost Margin'!E19))</f>
        <v/>
      </c>
      <c r="C55" s="7" t="n">
        <f aca="false">IF(OR('Cost Margin'!$B$4="Time &amp; materials",'Cost Margin'!$B$4="Staff augmentation"),C33*IF('Cost Margin'!$H19="",0,'Cost Margin'!$H19),0)</f>
        <v>0</v>
      </c>
      <c r="D55" s="7" t="n">
        <f aca="false">IF(OR('Cost Margin'!$B$4="Time &amp; materials",'Cost Margin'!$B$4="Staff augmentation"),D33*IF('Cost Margin'!$H19="",0,'Cost Margin'!$H19),0)</f>
        <v>0</v>
      </c>
      <c r="E55" s="7" t="n">
        <f aca="false">IF(OR('Cost Margin'!$B$4="Time &amp; materials",'Cost Margin'!$B$4="Staff augmentation"),E33*IF('Cost Margin'!$H19="",0,'Cost Margin'!$H19),0)</f>
        <v>0</v>
      </c>
      <c r="F55" s="7" t="n">
        <f aca="false">IF(OR('Cost Margin'!$B$4="Time &amp; materials",'Cost Margin'!$B$4="Staff augmentation"),F33*IF('Cost Margin'!$H19="",0,'Cost Margin'!$H19),0)</f>
        <v>0</v>
      </c>
      <c r="G55" s="7" t="n">
        <f aca="false">IF(OR('Cost Margin'!$B$4="Time &amp; materials",'Cost Margin'!$B$4="Staff augmentation"),G33*IF('Cost Margin'!$H19="",0,'Cost Margin'!$H19),0)</f>
        <v>0</v>
      </c>
      <c r="H55" s="7" t="n">
        <f aca="false">IF(OR('Cost Margin'!$B$4="Time &amp; materials",'Cost Margin'!$B$4="Staff augmentation"),H33*IF('Cost Margin'!$H19="",0,'Cost Margin'!$H19),0)</f>
        <v>0</v>
      </c>
      <c r="I55" s="7" t="n">
        <f aca="false">IF(OR('Cost Margin'!$B$4="Time &amp; materials",'Cost Margin'!$B$4="Staff augmentation"),I33*IF('Cost Margin'!$H19="",0,'Cost Margin'!$H19),0)</f>
        <v>0</v>
      </c>
      <c r="J55" s="7" t="n">
        <f aca="false">IF(OR('Cost Margin'!$B$4="Time &amp; materials",'Cost Margin'!$B$4="Staff augmentation"),J33*IF('Cost Margin'!$H19="",0,'Cost Margin'!$H19),0)</f>
        <v>0</v>
      </c>
      <c r="K55" s="7" t="n">
        <f aca="false">IF(OR('Cost Margin'!$B$4="Time &amp; materials",'Cost Margin'!$B$4="Staff augmentation"),K33*IF('Cost Margin'!$H19="",0,'Cost Margin'!$H19),0)</f>
        <v>0</v>
      </c>
      <c r="L55" s="7" t="n">
        <f aca="false">IF(OR('Cost Margin'!$B$4="Time &amp; materials",'Cost Margin'!$B$4="Staff augmentation"),L33*IF('Cost Margin'!$H19="",0,'Cost Margin'!$H19),0)</f>
        <v>0</v>
      </c>
      <c r="M55" s="7" t="n">
        <f aca="false">IF(OR('Cost Margin'!$B$4="Time &amp; materials",'Cost Margin'!$B$4="Staff augmentation"),M33*IF('Cost Margin'!$H19="",0,'Cost Margin'!$H19),0)</f>
        <v>0</v>
      </c>
      <c r="N55" s="7" t="n">
        <f aca="false">IF(OR('Cost Margin'!$B$4="Time &amp; materials",'Cost Margin'!$B$4="Staff augmentation"),N33*IF('Cost Margin'!$H19="",0,'Cost Margin'!$H19),0)</f>
        <v>0</v>
      </c>
      <c r="O55" s="7" t="n">
        <f aca="false">IF(OR('Cost Margin'!$B$4="Time &amp; materials",'Cost Margin'!$B$4="Staff augmentation"),O33*IF('Cost Margin'!$H19="",0,'Cost Margin'!$H19),0)</f>
        <v>0</v>
      </c>
      <c r="P55" s="7" t="n">
        <f aca="false">IF(OR('Cost Margin'!$B$4="Time &amp; materials",'Cost Margin'!$B$4="Staff augmentation"),P33*IF('Cost Margin'!$H19="",0,'Cost Margin'!$H19),0)</f>
        <v>0</v>
      </c>
      <c r="Q55" s="7" t="n">
        <f aca="false">IF(OR('Cost Margin'!$B$4="Time &amp; materials",'Cost Margin'!$B$4="Staff augmentation"),Q33*IF('Cost Margin'!$H19="",0,'Cost Margin'!$H19),0)</f>
        <v>0</v>
      </c>
      <c r="R55" s="7" t="n">
        <f aca="false">IF(OR('Cost Margin'!$B$4="Time &amp; materials",'Cost Margin'!$B$4="Staff augmentation"),R33*IF('Cost Margin'!$H19="",0,'Cost Margin'!$H19),0)</f>
        <v>0</v>
      </c>
      <c r="S55" s="7" t="n">
        <f aca="false">IF(OR('Cost Margin'!$B$4="Time &amp; materials",'Cost Margin'!$B$4="Staff augmentation"),S33*IF('Cost Margin'!$H19="",0,'Cost Margin'!$H19),0)</f>
        <v>0</v>
      </c>
      <c r="T55" s="7" t="n">
        <f aca="false">IF(OR('Cost Margin'!$B$4="Time &amp; materials",'Cost Margin'!$B$4="Staff augmentation"),T33*IF('Cost Margin'!$H19="",0,'Cost Margin'!$H19),0)</f>
        <v>0</v>
      </c>
      <c r="U55" s="7" t="n">
        <f aca="false">IF(OR('Cost Margin'!$B$4="Time &amp; materials",'Cost Margin'!$B$4="Staff augmentation"),U33*IF('Cost Margin'!$H19="",0,'Cost Margin'!$H19),0)</f>
        <v>0</v>
      </c>
      <c r="V55" s="7" t="n">
        <f aca="false">IF(OR('Cost Margin'!$B$4="Time &amp; materials",'Cost Margin'!$B$4="Staff augmentation"),V33*IF('Cost Margin'!$H19="",0,'Cost Margin'!$H19),0)</f>
        <v>0</v>
      </c>
      <c r="W55" s="7" t="n">
        <f aca="false">IF(OR('Cost Margin'!$B$4="Time &amp; materials",'Cost Margin'!$B$4="Staff augmentation"),W33*IF('Cost Margin'!$H19="",0,'Cost Margin'!$H19),0)</f>
        <v>0</v>
      </c>
      <c r="X55" s="7" t="n">
        <f aca="false">IF(OR('Cost Margin'!$B$4="Time &amp; materials",'Cost Margin'!$B$4="Staff augmentation"),X33*IF('Cost Margin'!$H19="",0,'Cost Margin'!$H19),0)</f>
        <v>0</v>
      </c>
      <c r="Y55" s="7" t="n">
        <f aca="false">IF(OR('Cost Margin'!$B$4="Time &amp; materials",'Cost Margin'!$B$4="Staff augmentation"),Y33*IF('Cost Margin'!$H19="",0,'Cost Margin'!$H19),0)</f>
        <v>0</v>
      </c>
      <c r="Z55" s="7" t="n">
        <f aca="false">IF(OR('Cost Margin'!$B$4="Time &amp; materials",'Cost Margin'!$B$4="Staff augmentation"),Z33*IF('Cost Margin'!$H19="",0,'Cost Margin'!$H19),0)</f>
        <v>0</v>
      </c>
      <c r="AB55" s="34" t="str">
        <f aca="false">IF('Cost Margin'!A19="","",IF('Cost Margin'!E19="","(unassigned)",'Cost Margin'!E19))</f>
        <v/>
      </c>
    </row>
    <row r="56" customFormat="false" ht="15" hidden="false" customHeight="false" outlineLevel="0" collapsed="false">
      <c r="A56" s="0" t="n">
        <v>4</v>
      </c>
      <c r="B56" s="34" t="str">
        <f aca="false">IF('Cost Margin'!A20="","",'Cost Margin'!A20&amp;IF('Cost Margin'!E20="",""," · "&amp;'Cost Margin'!E20))</f>
        <v/>
      </c>
      <c r="C56" s="7" t="n">
        <f aca="false">IF(OR('Cost Margin'!$B$4="Time &amp; materials",'Cost Margin'!$B$4="Staff augmentation"),C34*IF('Cost Margin'!$H20="",0,'Cost Margin'!$H20),0)</f>
        <v>0</v>
      </c>
      <c r="D56" s="7" t="n">
        <f aca="false">IF(OR('Cost Margin'!$B$4="Time &amp; materials",'Cost Margin'!$B$4="Staff augmentation"),D34*IF('Cost Margin'!$H20="",0,'Cost Margin'!$H20),0)</f>
        <v>0</v>
      </c>
      <c r="E56" s="7" t="n">
        <f aca="false">IF(OR('Cost Margin'!$B$4="Time &amp; materials",'Cost Margin'!$B$4="Staff augmentation"),E34*IF('Cost Margin'!$H20="",0,'Cost Margin'!$H20),0)</f>
        <v>0</v>
      </c>
      <c r="F56" s="7" t="n">
        <f aca="false">IF(OR('Cost Margin'!$B$4="Time &amp; materials",'Cost Margin'!$B$4="Staff augmentation"),F34*IF('Cost Margin'!$H20="",0,'Cost Margin'!$H20),0)</f>
        <v>0</v>
      </c>
      <c r="G56" s="7" t="n">
        <f aca="false">IF(OR('Cost Margin'!$B$4="Time &amp; materials",'Cost Margin'!$B$4="Staff augmentation"),G34*IF('Cost Margin'!$H20="",0,'Cost Margin'!$H20),0)</f>
        <v>0</v>
      </c>
      <c r="H56" s="7" t="n">
        <f aca="false">IF(OR('Cost Margin'!$B$4="Time &amp; materials",'Cost Margin'!$B$4="Staff augmentation"),H34*IF('Cost Margin'!$H20="",0,'Cost Margin'!$H20),0)</f>
        <v>0</v>
      </c>
      <c r="I56" s="7" t="n">
        <f aca="false">IF(OR('Cost Margin'!$B$4="Time &amp; materials",'Cost Margin'!$B$4="Staff augmentation"),I34*IF('Cost Margin'!$H20="",0,'Cost Margin'!$H20),0)</f>
        <v>0</v>
      </c>
      <c r="J56" s="7" t="n">
        <f aca="false">IF(OR('Cost Margin'!$B$4="Time &amp; materials",'Cost Margin'!$B$4="Staff augmentation"),J34*IF('Cost Margin'!$H20="",0,'Cost Margin'!$H20),0)</f>
        <v>0</v>
      </c>
      <c r="K56" s="7" t="n">
        <f aca="false">IF(OR('Cost Margin'!$B$4="Time &amp; materials",'Cost Margin'!$B$4="Staff augmentation"),K34*IF('Cost Margin'!$H20="",0,'Cost Margin'!$H20),0)</f>
        <v>0</v>
      </c>
      <c r="L56" s="7" t="n">
        <f aca="false">IF(OR('Cost Margin'!$B$4="Time &amp; materials",'Cost Margin'!$B$4="Staff augmentation"),L34*IF('Cost Margin'!$H20="",0,'Cost Margin'!$H20),0)</f>
        <v>0</v>
      </c>
      <c r="M56" s="7" t="n">
        <f aca="false">IF(OR('Cost Margin'!$B$4="Time &amp; materials",'Cost Margin'!$B$4="Staff augmentation"),M34*IF('Cost Margin'!$H20="",0,'Cost Margin'!$H20),0)</f>
        <v>0</v>
      </c>
      <c r="N56" s="7" t="n">
        <f aca="false">IF(OR('Cost Margin'!$B$4="Time &amp; materials",'Cost Margin'!$B$4="Staff augmentation"),N34*IF('Cost Margin'!$H20="",0,'Cost Margin'!$H20),0)</f>
        <v>0</v>
      </c>
      <c r="O56" s="7" t="n">
        <f aca="false">IF(OR('Cost Margin'!$B$4="Time &amp; materials",'Cost Margin'!$B$4="Staff augmentation"),O34*IF('Cost Margin'!$H20="",0,'Cost Margin'!$H20),0)</f>
        <v>0</v>
      </c>
      <c r="P56" s="7" t="n">
        <f aca="false">IF(OR('Cost Margin'!$B$4="Time &amp; materials",'Cost Margin'!$B$4="Staff augmentation"),P34*IF('Cost Margin'!$H20="",0,'Cost Margin'!$H20),0)</f>
        <v>0</v>
      </c>
      <c r="Q56" s="7" t="n">
        <f aca="false">IF(OR('Cost Margin'!$B$4="Time &amp; materials",'Cost Margin'!$B$4="Staff augmentation"),Q34*IF('Cost Margin'!$H20="",0,'Cost Margin'!$H20),0)</f>
        <v>0</v>
      </c>
      <c r="R56" s="7" t="n">
        <f aca="false">IF(OR('Cost Margin'!$B$4="Time &amp; materials",'Cost Margin'!$B$4="Staff augmentation"),R34*IF('Cost Margin'!$H20="",0,'Cost Margin'!$H20),0)</f>
        <v>0</v>
      </c>
      <c r="S56" s="7" t="n">
        <f aca="false">IF(OR('Cost Margin'!$B$4="Time &amp; materials",'Cost Margin'!$B$4="Staff augmentation"),S34*IF('Cost Margin'!$H20="",0,'Cost Margin'!$H20),0)</f>
        <v>0</v>
      </c>
      <c r="T56" s="7" t="n">
        <f aca="false">IF(OR('Cost Margin'!$B$4="Time &amp; materials",'Cost Margin'!$B$4="Staff augmentation"),T34*IF('Cost Margin'!$H20="",0,'Cost Margin'!$H20),0)</f>
        <v>0</v>
      </c>
      <c r="U56" s="7" t="n">
        <f aca="false">IF(OR('Cost Margin'!$B$4="Time &amp; materials",'Cost Margin'!$B$4="Staff augmentation"),U34*IF('Cost Margin'!$H20="",0,'Cost Margin'!$H20),0)</f>
        <v>0</v>
      </c>
      <c r="V56" s="7" t="n">
        <f aca="false">IF(OR('Cost Margin'!$B$4="Time &amp; materials",'Cost Margin'!$B$4="Staff augmentation"),V34*IF('Cost Margin'!$H20="",0,'Cost Margin'!$H20),0)</f>
        <v>0</v>
      </c>
      <c r="W56" s="7" t="n">
        <f aca="false">IF(OR('Cost Margin'!$B$4="Time &amp; materials",'Cost Margin'!$B$4="Staff augmentation"),W34*IF('Cost Margin'!$H20="",0,'Cost Margin'!$H20),0)</f>
        <v>0</v>
      </c>
      <c r="X56" s="7" t="n">
        <f aca="false">IF(OR('Cost Margin'!$B$4="Time &amp; materials",'Cost Margin'!$B$4="Staff augmentation"),X34*IF('Cost Margin'!$H20="",0,'Cost Margin'!$H20),0)</f>
        <v>0</v>
      </c>
      <c r="Y56" s="7" t="n">
        <f aca="false">IF(OR('Cost Margin'!$B$4="Time &amp; materials",'Cost Margin'!$B$4="Staff augmentation"),Y34*IF('Cost Margin'!$H20="",0,'Cost Margin'!$H20),0)</f>
        <v>0</v>
      </c>
      <c r="Z56" s="7" t="n">
        <f aca="false">IF(OR('Cost Margin'!$B$4="Time &amp; materials",'Cost Margin'!$B$4="Staff augmentation"),Z34*IF('Cost Margin'!$H20="",0,'Cost Margin'!$H20),0)</f>
        <v>0</v>
      </c>
      <c r="AB56" s="34" t="str">
        <f aca="false">IF('Cost Margin'!A20="","",IF('Cost Margin'!E20="","(unassigned)",'Cost Margin'!E20))</f>
        <v/>
      </c>
    </row>
    <row r="57" customFormat="false" ht="15" hidden="false" customHeight="false" outlineLevel="0" collapsed="false">
      <c r="A57" s="0" t="n">
        <v>5</v>
      </c>
      <c r="B57" s="34" t="str">
        <f aca="false">IF('Cost Margin'!A21="","",'Cost Margin'!A21&amp;IF('Cost Margin'!E21="",""," · "&amp;'Cost Margin'!E21))</f>
        <v/>
      </c>
      <c r="C57" s="7" t="n">
        <f aca="false">IF(OR('Cost Margin'!$B$4="Time &amp; materials",'Cost Margin'!$B$4="Staff augmentation"),C35*IF('Cost Margin'!$H21="",0,'Cost Margin'!$H21),0)</f>
        <v>0</v>
      </c>
      <c r="D57" s="7" t="n">
        <f aca="false">IF(OR('Cost Margin'!$B$4="Time &amp; materials",'Cost Margin'!$B$4="Staff augmentation"),D35*IF('Cost Margin'!$H21="",0,'Cost Margin'!$H21),0)</f>
        <v>0</v>
      </c>
      <c r="E57" s="7" t="n">
        <f aca="false">IF(OR('Cost Margin'!$B$4="Time &amp; materials",'Cost Margin'!$B$4="Staff augmentation"),E35*IF('Cost Margin'!$H21="",0,'Cost Margin'!$H21),0)</f>
        <v>0</v>
      </c>
      <c r="F57" s="7" t="n">
        <f aca="false">IF(OR('Cost Margin'!$B$4="Time &amp; materials",'Cost Margin'!$B$4="Staff augmentation"),F35*IF('Cost Margin'!$H21="",0,'Cost Margin'!$H21),0)</f>
        <v>0</v>
      </c>
      <c r="G57" s="7" t="n">
        <f aca="false">IF(OR('Cost Margin'!$B$4="Time &amp; materials",'Cost Margin'!$B$4="Staff augmentation"),G35*IF('Cost Margin'!$H21="",0,'Cost Margin'!$H21),0)</f>
        <v>0</v>
      </c>
      <c r="H57" s="7" t="n">
        <f aca="false">IF(OR('Cost Margin'!$B$4="Time &amp; materials",'Cost Margin'!$B$4="Staff augmentation"),H35*IF('Cost Margin'!$H21="",0,'Cost Margin'!$H21),0)</f>
        <v>0</v>
      </c>
      <c r="I57" s="7" t="n">
        <f aca="false">IF(OR('Cost Margin'!$B$4="Time &amp; materials",'Cost Margin'!$B$4="Staff augmentation"),I35*IF('Cost Margin'!$H21="",0,'Cost Margin'!$H21),0)</f>
        <v>0</v>
      </c>
      <c r="J57" s="7" t="n">
        <f aca="false">IF(OR('Cost Margin'!$B$4="Time &amp; materials",'Cost Margin'!$B$4="Staff augmentation"),J35*IF('Cost Margin'!$H21="",0,'Cost Margin'!$H21),0)</f>
        <v>0</v>
      </c>
      <c r="K57" s="7" t="n">
        <f aca="false">IF(OR('Cost Margin'!$B$4="Time &amp; materials",'Cost Margin'!$B$4="Staff augmentation"),K35*IF('Cost Margin'!$H21="",0,'Cost Margin'!$H21),0)</f>
        <v>0</v>
      </c>
      <c r="L57" s="7" t="n">
        <f aca="false">IF(OR('Cost Margin'!$B$4="Time &amp; materials",'Cost Margin'!$B$4="Staff augmentation"),L35*IF('Cost Margin'!$H21="",0,'Cost Margin'!$H21),0)</f>
        <v>0</v>
      </c>
      <c r="M57" s="7" t="n">
        <f aca="false">IF(OR('Cost Margin'!$B$4="Time &amp; materials",'Cost Margin'!$B$4="Staff augmentation"),M35*IF('Cost Margin'!$H21="",0,'Cost Margin'!$H21),0)</f>
        <v>0</v>
      </c>
      <c r="N57" s="7" t="n">
        <f aca="false">IF(OR('Cost Margin'!$B$4="Time &amp; materials",'Cost Margin'!$B$4="Staff augmentation"),N35*IF('Cost Margin'!$H21="",0,'Cost Margin'!$H21),0)</f>
        <v>0</v>
      </c>
      <c r="O57" s="7" t="n">
        <f aca="false">IF(OR('Cost Margin'!$B$4="Time &amp; materials",'Cost Margin'!$B$4="Staff augmentation"),O35*IF('Cost Margin'!$H21="",0,'Cost Margin'!$H21),0)</f>
        <v>0</v>
      </c>
      <c r="P57" s="7" t="n">
        <f aca="false">IF(OR('Cost Margin'!$B$4="Time &amp; materials",'Cost Margin'!$B$4="Staff augmentation"),P35*IF('Cost Margin'!$H21="",0,'Cost Margin'!$H21),0)</f>
        <v>0</v>
      </c>
      <c r="Q57" s="7" t="n">
        <f aca="false">IF(OR('Cost Margin'!$B$4="Time &amp; materials",'Cost Margin'!$B$4="Staff augmentation"),Q35*IF('Cost Margin'!$H21="",0,'Cost Margin'!$H21),0)</f>
        <v>0</v>
      </c>
      <c r="R57" s="7" t="n">
        <f aca="false">IF(OR('Cost Margin'!$B$4="Time &amp; materials",'Cost Margin'!$B$4="Staff augmentation"),R35*IF('Cost Margin'!$H21="",0,'Cost Margin'!$H21),0)</f>
        <v>0</v>
      </c>
      <c r="S57" s="7" t="n">
        <f aca="false">IF(OR('Cost Margin'!$B$4="Time &amp; materials",'Cost Margin'!$B$4="Staff augmentation"),S35*IF('Cost Margin'!$H21="",0,'Cost Margin'!$H21),0)</f>
        <v>0</v>
      </c>
      <c r="T57" s="7" t="n">
        <f aca="false">IF(OR('Cost Margin'!$B$4="Time &amp; materials",'Cost Margin'!$B$4="Staff augmentation"),T35*IF('Cost Margin'!$H21="",0,'Cost Margin'!$H21),0)</f>
        <v>0</v>
      </c>
      <c r="U57" s="7" t="n">
        <f aca="false">IF(OR('Cost Margin'!$B$4="Time &amp; materials",'Cost Margin'!$B$4="Staff augmentation"),U35*IF('Cost Margin'!$H21="",0,'Cost Margin'!$H21),0)</f>
        <v>0</v>
      </c>
      <c r="V57" s="7" t="n">
        <f aca="false">IF(OR('Cost Margin'!$B$4="Time &amp; materials",'Cost Margin'!$B$4="Staff augmentation"),V35*IF('Cost Margin'!$H21="",0,'Cost Margin'!$H21),0)</f>
        <v>0</v>
      </c>
      <c r="W57" s="7" t="n">
        <f aca="false">IF(OR('Cost Margin'!$B$4="Time &amp; materials",'Cost Margin'!$B$4="Staff augmentation"),W35*IF('Cost Margin'!$H21="",0,'Cost Margin'!$H21),0)</f>
        <v>0</v>
      </c>
      <c r="X57" s="7" t="n">
        <f aca="false">IF(OR('Cost Margin'!$B$4="Time &amp; materials",'Cost Margin'!$B$4="Staff augmentation"),X35*IF('Cost Margin'!$H21="",0,'Cost Margin'!$H21),0)</f>
        <v>0</v>
      </c>
      <c r="Y57" s="7" t="n">
        <f aca="false">IF(OR('Cost Margin'!$B$4="Time &amp; materials",'Cost Margin'!$B$4="Staff augmentation"),Y35*IF('Cost Margin'!$H21="",0,'Cost Margin'!$H21),0)</f>
        <v>0</v>
      </c>
      <c r="Z57" s="7" t="n">
        <f aca="false">IF(OR('Cost Margin'!$B$4="Time &amp; materials",'Cost Margin'!$B$4="Staff augmentation"),Z35*IF('Cost Margin'!$H21="",0,'Cost Margin'!$H21),0)</f>
        <v>0</v>
      </c>
      <c r="AB57" s="34" t="str">
        <f aca="false">IF('Cost Margin'!A21="","",IF('Cost Margin'!E21="","(unassigned)",'Cost Margin'!E21))</f>
        <v/>
      </c>
    </row>
    <row r="58" customFormat="false" ht="15" hidden="false" customHeight="false" outlineLevel="0" collapsed="false">
      <c r="A58" s="0" t="n">
        <v>6</v>
      </c>
      <c r="B58" s="34" t="str">
        <f aca="false">IF('Cost Margin'!A22="","",'Cost Margin'!A22&amp;IF('Cost Margin'!E22="",""," · "&amp;'Cost Margin'!E22))</f>
        <v/>
      </c>
      <c r="C58" s="7" t="n">
        <f aca="false">IF(OR('Cost Margin'!$B$4="Time &amp; materials",'Cost Margin'!$B$4="Staff augmentation"),C36*IF('Cost Margin'!$H22="",0,'Cost Margin'!$H22),0)</f>
        <v>0</v>
      </c>
      <c r="D58" s="7" t="n">
        <f aca="false">IF(OR('Cost Margin'!$B$4="Time &amp; materials",'Cost Margin'!$B$4="Staff augmentation"),D36*IF('Cost Margin'!$H22="",0,'Cost Margin'!$H22),0)</f>
        <v>0</v>
      </c>
      <c r="E58" s="7" t="n">
        <f aca="false">IF(OR('Cost Margin'!$B$4="Time &amp; materials",'Cost Margin'!$B$4="Staff augmentation"),E36*IF('Cost Margin'!$H22="",0,'Cost Margin'!$H22),0)</f>
        <v>0</v>
      </c>
      <c r="F58" s="7" t="n">
        <f aca="false">IF(OR('Cost Margin'!$B$4="Time &amp; materials",'Cost Margin'!$B$4="Staff augmentation"),F36*IF('Cost Margin'!$H22="",0,'Cost Margin'!$H22),0)</f>
        <v>0</v>
      </c>
      <c r="G58" s="7" t="n">
        <f aca="false">IF(OR('Cost Margin'!$B$4="Time &amp; materials",'Cost Margin'!$B$4="Staff augmentation"),G36*IF('Cost Margin'!$H22="",0,'Cost Margin'!$H22),0)</f>
        <v>0</v>
      </c>
      <c r="H58" s="7" t="n">
        <f aca="false">IF(OR('Cost Margin'!$B$4="Time &amp; materials",'Cost Margin'!$B$4="Staff augmentation"),H36*IF('Cost Margin'!$H22="",0,'Cost Margin'!$H22),0)</f>
        <v>0</v>
      </c>
      <c r="I58" s="7" t="n">
        <f aca="false">IF(OR('Cost Margin'!$B$4="Time &amp; materials",'Cost Margin'!$B$4="Staff augmentation"),I36*IF('Cost Margin'!$H22="",0,'Cost Margin'!$H22),0)</f>
        <v>0</v>
      </c>
      <c r="J58" s="7" t="n">
        <f aca="false">IF(OR('Cost Margin'!$B$4="Time &amp; materials",'Cost Margin'!$B$4="Staff augmentation"),J36*IF('Cost Margin'!$H22="",0,'Cost Margin'!$H22),0)</f>
        <v>0</v>
      </c>
      <c r="K58" s="7" t="n">
        <f aca="false">IF(OR('Cost Margin'!$B$4="Time &amp; materials",'Cost Margin'!$B$4="Staff augmentation"),K36*IF('Cost Margin'!$H22="",0,'Cost Margin'!$H22),0)</f>
        <v>0</v>
      </c>
      <c r="L58" s="7" t="n">
        <f aca="false">IF(OR('Cost Margin'!$B$4="Time &amp; materials",'Cost Margin'!$B$4="Staff augmentation"),L36*IF('Cost Margin'!$H22="",0,'Cost Margin'!$H22),0)</f>
        <v>0</v>
      </c>
      <c r="M58" s="7" t="n">
        <f aca="false">IF(OR('Cost Margin'!$B$4="Time &amp; materials",'Cost Margin'!$B$4="Staff augmentation"),M36*IF('Cost Margin'!$H22="",0,'Cost Margin'!$H22),0)</f>
        <v>0</v>
      </c>
      <c r="N58" s="7" t="n">
        <f aca="false">IF(OR('Cost Margin'!$B$4="Time &amp; materials",'Cost Margin'!$B$4="Staff augmentation"),N36*IF('Cost Margin'!$H22="",0,'Cost Margin'!$H22),0)</f>
        <v>0</v>
      </c>
      <c r="O58" s="7" t="n">
        <f aca="false">IF(OR('Cost Margin'!$B$4="Time &amp; materials",'Cost Margin'!$B$4="Staff augmentation"),O36*IF('Cost Margin'!$H22="",0,'Cost Margin'!$H22),0)</f>
        <v>0</v>
      </c>
      <c r="P58" s="7" t="n">
        <f aca="false">IF(OR('Cost Margin'!$B$4="Time &amp; materials",'Cost Margin'!$B$4="Staff augmentation"),P36*IF('Cost Margin'!$H22="",0,'Cost Margin'!$H22),0)</f>
        <v>0</v>
      </c>
      <c r="Q58" s="7" t="n">
        <f aca="false">IF(OR('Cost Margin'!$B$4="Time &amp; materials",'Cost Margin'!$B$4="Staff augmentation"),Q36*IF('Cost Margin'!$H22="",0,'Cost Margin'!$H22),0)</f>
        <v>0</v>
      </c>
      <c r="R58" s="7" t="n">
        <f aca="false">IF(OR('Cost Margin'!$B$4="Time &amp; materials",'Cost Margin'!$B$4="Staff augmentation"),R36*IF('Cost Margin'!$H22="",0,'Cost Margin'!$H22),0)</f>
        <v>0</v>
      </c>
      <c r="S58" s="7" t="n">
        <f aca="false">IF(OR('Cost Margin'!$B$4="Time &amp; materials",'Cost Margin'!$B$4="Staff augmentation"),S36*IF('Cost Margin'!$H22="",0,'Cost Margin'!$H22),0)</f>
        <v>0</v>
      </c>
      <c r="T58" s="7" t="n">
        <f aca="false">IF(OR('Cost Margin'!$B$4="Time &amp; materials",'Cost Margin'!$B$4="Staff augmentation"),T36*IF('Cost Margin'!$H22="",0,'Cost Margin'!$H22),0)</f>
        <v>0</v>
      </c>
      <c r="U58" s="7" t="n">
        <f aca="false">IF(OR('Cost Margin'!$B$4="Time &amp; materials",'Cost Margin'!$B$4="Staff augmentation"),U36*IF('Cost Margin'!$H22="",0,'Cost Margin'!$H22),0)</f>
        <v>0</v>
      </c>
      <c r="V58" s="7" t="n">
        <f aca="false">IF(OR('Cost Margin'!$B$4="Time &amp; materials",'Cost Margin'!$B$4="Staff augmentation"),V36*IF('Cost Margin'!$H22="",0,'Cost Margin'!$H22),0)</f>
        <v>0</v>
      </c>
      <c r="W58" s="7" t="n">
        <f aca="false">IF(OR('Cost Margin'!$B$4="Time &amp; materials",'Cost Margin'!$B$4="Staff augmentation"),W36*IF('Cost Margin'!$H22="",0,'Cost Margin'!$H22),0)</f>
        <v>0</v>
      </c>
      <c r="X58" s="7" t="n">
        <f aca="false">IF(OR('Cost Margin'!$B$4="Time &amp; materials",'Cost Margin'!$B$4="Staff augmentation"),X36*IF('Cost Margin'!$H22="",0,'Cost Margin'!$H22),0)</f>
        <v>0</v>
      </c>
      <c r="Y58" s="7" t="n">
        <f aca="false">IF(OR('Cost Margin'!$B$4="Time &amp; materials",'Cost Margin'!$B$4="Staff augmentation"),Y36*IF('Cost Margin'!$H22="",0,'Cost Margin'!$H22),0)</f>
        <v>0</v>
      </c>
      <c r="Z58" s="7" t="n">
        <f aca="false">IF(OR('Cost Margin'!$B$4="Time &amp; materials",'Cost Margin'!$B$4="Staff augmentation"),Z36*IF('Cost Margin'!$H22="",0,'Cost Margin'!$H22),0)</f>
        <v>0</v>
      </c>
      <c r="AB58" s="34" t="str">
        <f aca="false">IF('Cost Margin'!A22="","",IF('Cost Margin'!E22="","(unassigned)",'Cost Margin'!E22))</f>
        <v/>
      </c>
    </row>
    <row r="59" customFormat="false" ht="15" hidden="false" customHeight="false" outlineLevel="0" collapsed="false">
      <c r="A59" s="0" t="n">
        <v>7</v>
      </c>
      <c r="B59" s="34" t="str">
        <f aca="false">IF('Cost Margin'!A23="","",'Cost Margin'!A23&amp;IF('Cost Margin'!E23="",""," · "&amp;'Cost Margin'!E23))</f>
        <v/>
      </c>
      <c r="C59" s="7" t="n">
        <f aca="false">IF(OR('Cost Margin'!$B$4="Time &amp; materials",'Cost Margin'!$B$4="Staff augmentation"),C37*IF('Cost Margin'!$H23="",0,'Cost Margin'!$H23),0)</f>
        <v>0</v>
      </c>
      <c r="D59" s="7" t="n">
        <f aca="false">IF(OR('Cost Margin'!$B$4="Time &amp; materials",'Cost Margin'!$B$4="Staff augmentation"),D37*IF('Cost Margin'!$H23="",0,'Cost Margin'!$H23),0)</f>
        <v>0</v>
      </c>
      <c r="E59" s="7" t="n">
        <f aca="false">IF(OR('Cost Margin'!$B$4="Time &amp; materials",'Cost Margin'!$B$4="Staff augmentation"),E37*IF('Cost Margin'!$H23="",0,'Cost Margin'!$H23),0)</f>
        <v>0</v>
      </c>
      <c r="F59" s="7" t="n">
        <f aca="false">IF(OR('Cost Margin'!$B$4="Time &amp; materials",'Cost Margin'!$B$4="Staff augmentation"),F37*IF('Cost Margin'!$H23="",0,'Cost Margin'!$H23),0)</f>
        <v>0</v>
      </c>
      <c r="G59" s="7" t="n">
        <f aca="false">IF(OR('Cost Margin'!$B$4="Time &amp; materials",'Cost Margin'!$B$4="Staff augmentation"),G37*IF('Cost Margin'!$H23="",0,'Cost Margin'!$H23),0)</f>
        <v>0</v>
      </c>
      <c r="H59" s="7" t="n">
        <f aca="false">IF(OR('Cost Margin'!$B$4="Time &amp; materials",'Cost Margin'!$B$4="Staff augmentation"),H37*IF('Cost Margin'!$H23="",0,'Cost Margin'!$H23),0)</f>
        <v>0</v>
      </c>
      <c r="I59" s="7" t="n">
        <f aca="false">IF(OR('Cost Margin'!$B$4="Time &amp; materials",'Cost Margin'!$B$4="Staff augmentation"),I37*IF('Cost Margin'!$H23="",0,'Cost Margin'!$H23),0)</f>
        <v>0</v>
      </c>
      <c r="J59" s="7" t="n">
        <f aca="false">IF(OR('Cost Margin'!$B$4="Time &amp; materials",'Cost Margin'!$B$4="Staff augmentation"),J37*IF('Cost Margin'!$H23="",0,'Cost Margin'!$H23),0)</f>
        <v>0</v>
      </c>
      <c r="K59" s="7" t="n">
        <f aca="false">IF(OR('Cost Margin'!$B$4="Time &amp; materials",'Cost Margin'!$B$4="Staff augmentation"),K37*IF('Cost Margin'!$H23="",0,'Cost Margin'!$H23),0)</f>
        <v>0</v>
      </c>
      <c r="L59" s="7" t="n">
        <f aca="false">IF(OR('Cost Margin'!$B$4="Time &amp; materials",'Cost Margin'!$B$4="Staff augmentation"),L37*IF('Cost Margin'!$H23="",0,'Cost Margin'!$H23),0)</f>
        <v>0</v>
      </c>
      <c r="M59" s="7" t="n">
        <f aca="false">IF(OR('Cost Margin'!$B$4="Time &amp; materials",'Cost Margin'!$B$4="Staff augmentation"),M37*IF('Cost Margin'!$H23="",0,'Cost Margin'!$H23),0)</f>
        <v>0</v>
      </c>
      <c r="N59" s="7" t="n">
        <f aca="false">IF(OR('Cost Margin'!$B$4="Time &amp; materials",'Cost Margin'!$B$4="Staff augmentation"),N37*IF('Cost Margin'!$H23="",0,'Cost Margin'!$H23),0)</f>
        <v>0</v>
      </c>
      <c r="O59" s="7" t="n">
        <f aca="false">IF(OR('Cost Margin'!$B$4="Time &amp; materials",'Cost Margin'!$B$4="Staff augmentation"),O37*IF('Cost Margin'!$H23="",0,'Cost Margin'!$H23),0)</f>
        <v>0</v>
      </c>
      <c r="P59" s="7" t="n">
        <f aca="false">IF(OR('Cost Margin'!$B$4="Time &amp; materials",'Cost Margin'!$B$4="Staff augmentation"),P37*IF('Cost Margin'!$H23="",0,'Cost Margin'!$H23),0)</f>
        <v>0</v>
      </c>
      <c r="Q59" s="7" t="n">
        <f aca="false">IF(OR('Cost Margin'!$B$4="Time &amp; materials",'Cost Margin'!$B$4="Staff augmentation"),Q37*IF('Cost Margin'!$H23="",0,'Cost Margin'!$H23),0)</f>
        <v>0</v>
      </c>
      <c r="R59" s="7" t="n">
        <f aca="false">IF(OR('Cost Margin'!$B$4="Time &amp; materials",'Cost Margin'!$B$4="Staff augmentation"),R37*IF('Cost Margin'!$H23="",0,'Cost Margin'!$H23),0)</f>
        <v>0</v>
      </c>
      <c r="S59" s="7" t="n">
        <f aca="false">IF(OR('Cost Margin'!$B$4="Time &amp; materials",'Cost Margin'!$B$4="Staff augmentation"),S37*IF('Cost Margin'!$H23="",0,'Cost Margin'!$H23),0)</f>
        <v>0</v>
      </c>
      <c r="T59" s="7" t="n">
        <f aca="false">IF(OR('Cost Margin'!$B$4="Time &amp; materials",'Cost Margin'!$B$4="Staff augmentation"),T37*IF('Cost Margin'!$H23="",0,'Cost Margin'!$H23),0)</f>
        <v>0</v>
      </c>
      <c r="U59" s="7" t="n">
        <f aca="false">IF(OR('Cost Margin'!$B$4="Time &amp; materials",'Cost Margin'!$B$4="Staff augmentation"),U37*IF('Cost Margin'!$H23="",0,'Cost Margin'!$H23),0)</f>
        <v>0</v>
      </c>
      <c r="V59" s="7" t="n">
        <f aca="false">IF(OR('Cost Margin'!$B$4="Time &amp; materials",'Cost Margin'!$B$4="Staff augmentation"),V37*IF('Cost Margin'!$H23="",0,'Cost Margin'!$H23),0)</f>
        <v>0</v>
      </c>
      <c r="W59" s="7" t="n">
        <f aca="false">IF(OR('Cost Margin'!$B$4="Time &amp; materials",'Cost Margin'!$B$4="Staff augmentation"),W37*IF('Cost Margin'!$H23="",0,'Cost Margin'!$H23),0)</f>
        <v>0</v>
      </c>
      <c r="X59" s="7" t="n">
        <f aca="false">IF(OR('Cost Margin'!$B$4="Time &amp; materials",'Cost Margin'!$B$4="Staff augmentation"),X37*IF('Cost Margin'!$H23="",0,'Cost Margin'!$H23),0)</f>
        <v>0</v>
      </c>
      <c r="Y59" s="7" t="n">
        <f aca="false">IF(OR('Cost Margin'!$B$4="Time &amp; materials",'Cost Margin'!$B$4="Staff augmentation"),Y37*IF('Cost Margin'!$H23="",0,'Cost Margin'!$H23),0)</f>
        <v>0</v>
      </c>
      <c r="Z59" s="7" t="n">
        <f aca="false">IF(OR('Cost Margin'!$B$4="Time &amp; materials",'Cost Margin'!$B$4="Staff augmentation"),Z37*IF('Cost Margin'!$H23="",0,'Cost Margin'!$H23),0)</f>
        <v>0</v>
      </c>
      <c r="AB59" s="34" t="str">
        <f aca="false">IF('Cost Margin'!A23="","",IF('Cost Margin'!E23="","(unassigned)",'Cost Margin'!E23))</f>
        <v/>
      </c>
    </row>
    <row r="60" customFormat="false" ht="15" hidden="false" customHeight="false" outlineLevel="0" collapsed="false">
      <c r="A60" s="0" t="n">
        <v>8</v>
      </c>
      <c r="B60" s="34" t="str">
        <f aca="false">IF('Cost Margin'!A24="","",'Cost Margin'!A24&amp;IF('Cost Margin'!E24="",""," · "&amp;'Cost Margin'!E24))</f>
        <v/>
      </c>
      <c r="C60" s="7" t="n">
        <f aca="false">IF(OR('Cost Margin'!$B$4="Time &amp; materials",'Cost Margin'!$B$4="Staff augmentation"),C38*IF('Cost Margin'!$H24="",0,'Cost Margin'!$H24),0)</f>
        <v>0</v>
      </c>
      <c r="D60" s="7" t="n">
        <f aca="false">IF(OR('Cost Margin'!$B$4="Time &amp; materials",'Cost Margin'!$B$4="Staff augmentation"),D38*IF('Cost Margin'!$H24="",0,'Cost Margin'!$H24),0)</f>
        <v>0</v>
      </c>
      <c r="E60" s="7" t="n">
        <f aca="false">IF(OR('Cost Margin'!$B$4="Time &amp; materials",'Cost Margin'!$B$4="Staff augmentation"),E38*IF('Cost Margin'!$H24="",0,'Cost Margin'!$H24),0)</f>
        <v>0</v>
      </c>
      <c r="F60" s="7" t="n">
        <f aca="false">IF(OR('Cost Margin'!$B$4="Time &amp; materials",'Cost Margin'!$B$4="Staff augmentation"),F38*IF('Cost Margin'!$H24="",0,'Cost Margin'!$H24),0)</f>
        <v>0</v>
      </c>
      <c r="G60" s="7" t="n">
        <f aca="false">IF(OR('Cost Margin'!$B$4="Time &amp; materials",'Cost Margin'!$B$4="Staff augmentation"),G38*IF('Cost Margin'!$H24="",0,'Cost Margin'!$H24),0)</f>
        <v>0</v>
      </c>
      <c r="H60" s="7" t="n">
        <f aca="false">IF(OR('Cost Margin'!$B$4="Time &amp; materials",'Cost Margin'!$B$4="Staff augmentation"),H38*IF('Cost Margin'!$H24="",0,'Cost Margin'!$H24),0)</f>
        <v>0</v>
      </c>
      <c r="I60" s="7" t="n">
        <f aca="false">IF(OR('Cost Margin'!$B$4="Time &amp; materials",'Cost Margin'!$B$4="Staff augmentation"),I38*IF('Cost Margin'!$H24="",0,'Cost Margin'!$H24),0)</f>
        <v>0</v>
      </c>
      <c r="J60" s="7" t="n">
        <f aca="false">IF(OR('Cost Margin'!$B$4="Time &amp; materials",'Cost Margin'!$B$4="Staff augmentation"),J38*IF('Cost Margin'!$H24="",0,'Cost Margin'!$H24),0)</f>
        <v>0</v>
      </c>
      <c r="K60" s="7" t="n">
        <f aca="false">IF(OR('Cost Margin'!$B$4="Time &amp; materials",'Cost Margin'!$B$4="Staff augmentation"),K38*IF('Cost Margin'!$H24="",0,'Cost Margin'!$H24),0)</f>
        <v>0</v>
      </c>
      <c r="L60" s="7" t="n">
        <f aca="false">IF(OR('Cost Margin'!$B$4="Time &amp; materials",'Cost Margin'!$B$4="Staff augmentation"),L38*IF('Cost Margin'!$H24="",0,'Cost Margin'!$H24),0)</f>
        <v>0</v>
      </c>
      <c r="M60" s="7" t="n">
        <f aca="false">IF(OR('Cost Margin'!$B$4="Time &amp; materials",'Cost Margin'!$B$4="Staff augmentation"),M38*IF('Cost Margin'!$H24="",0,'Cost Margin'!$H24),0)</f>
        <v>0</v>
      </c>
      <c r="N60" s="7" t="n">
        <f aca="false">IF(OR('Cost Margin'!$B$4="Time &amp; materials",'Cost Margin'!$B$4="Staff augmentation"),N38*IF('Cost Margin'!$H24="",0,'Cost Margin'!$H24),0)</f>
        <v>0</v>
      </c>
      <c r="O60" s="7" t="n">
        <f aca="false">IF(OR('Cost Margin'!$B$4="Time &amp; materials",'Cost Margin'!$B$4="Staff augmentation"),O38*IF('Cost Margin'!$H24="",0,'Cost Margin'!$H24),0)</f>
        <v>0</v>
      </c>
      <c r="P60" s="7" t="n">
        <f aca="false">IF(OR('Cost Margin'!$B$4="Time &amp; materials",'Cost Margin'!$B$4="Staff augmentation"),P38*IF('Cost Margin'!$H24="",0,'Cost Margin'!$H24),0)</f>
        <v>0</v>
      </c>
      <c r="Q60" s="7" t="n">
        <f aca="false">IF(OR('Cost Margin'!$B$4="Time &amp; materials",'Cost Margin'!$B$4="Staff augmentation"),Q38*IF('Cost Margin'!$H24="",0,'Cost Margin'!$H24),0)</f>
        <v>0</v>
      </c>
      <c r="R60" s="7" t="n">
        <f aca="false">IF(OR('Cost Margin'!$B$4="Time &amp; materials",'Cost Margin'!$B$4="Staff augmentation"),R38*IF('Cost Margin'!$H24="",0,'Cost Margin'!$H24),0)</f>
        <v>0</v>
      </c>
      <c r="S60" s="7" t="n">
        <f aca="false">IF(OR('Cost Margin'!$B$4="Time &amp; materials",'Cost Margin'!$B$4="Staff augmentation"),S38*IF('Cost Margin'!$H24="",0,'Cost Margin'!$H24),0)</f>
        <v>0</v>
      </c>
      <c r="T60" s="7" t="n">
        <f aca="false">IF(OR('Cost Margin'!$B$4="Time &amp; materials",'Cost Margin'!$B$4="Staff augmentation"),T38*IF('Cost Margin'!$H24="",0,'Cost Margin'!$H24),0)</f>
        <v>0</v>
      </c>
      <c r="U60" s="7" t="n">
        <f aca="false">IF(OR('Cost Margin'!$B$4="Time &amp; materials",'Cost Margin'!$B$4="Staff augmentation"),U38*IF('Cost Margin'!$H24="",0,'Cost Margin'!$H24),0)</f>
        <v>0</v>
      </c>
      <c r="V60" s="7" t="n">
        <f aca="false">IF(OR('Cost Margin'!$B$4="Time &amp; materials",'Cost Margin'!$B$4="Staff augmentation"),V38*IF('Cost Margin'!$H24="",0,'Cost Margin'!$H24),0)</f>
        <v>0</v>
      </c>
      <c r="W60" s="7" t="n">
        <f aca="false">IF(OR('Cost Margin'!$B$4="Time &amp; materials",'Cost Margin'!$B$4="Staff augmentation"),W38*IF('Cost Margin'!$H24="",0,'Cost Margin'!$H24),0)</f>
        <v>0</v>
      </c>
      <c r="X60" s="7" t="n">
        <f aca="false">IF(OR('Cost Margin'!$B$4="Time &amp; materials",'Cost Margin'!$B$4="Staff augmentation"),X38*IF('Cost Margin'!$H24="",0,'Cost Margin'!$H24),0)</f>
        <v>0</v>
      </c>
      <c r="Y60" s="7" t="n">
        <f aca="false">IF(OR('Cost Margin'!$B$4="Time &amp; materials",'Cost Margin'!$B$4="Staff augmentation"),Y38*IF('Cost Margin'!$H24="",0,'Cost Margin'!$H24),0)</f>
        <v>0</v>
      </c>
      <c r="Z60" s="7" t="n">
        <f aca="false">IF(OR('Cost Margin'!$B$4="Time &amp; materials",'Cost Margin'!$B$4="Staff augmentation"),Z38*IF('Cost Margin'!$H24="",0,'Cost Margin'!$H24),0)</f>
        <v>0</v>
      </c>
      <c r="AB60" s="34" t="str">
        <f aca="false">IF('Cost Margin'!A24="","",IF('Cost Margin'!E24="","(unassigned)",'Cost Margin'!E24))</f>
        <v/>
      </c>
    </row>
    <row r="61" customFormat="false" ht="15" hidden="false" customHeight="false" outlineLevel="0" collapsed="false">
      <c r="A61" s="0" t="n">
        <v>9</v>
      </c>
      <c r="B61" s="34" t="str">
        <f aca="false">IF('Cost Margin'!A25="","",'Cost Margin'!A25&amp;IF('Cost Margin'!E25="",""," · "&amp;'Cost Margin'!E25))</f>
        <v/>
      </c>
      <c r="C61" s="7" t="n">
        <f aca="false">IF(OR('Cost Margin'!$B$4="Time &amp; materials",'Cost Margin'!$B$4="Staff augmentation"),C39*IF('Cost Margin'!$H25="",0,'Cost Margin'!$H25),0)</f>
        <v>0</v>
      </c>
      <c r="D61" s="7" t="n">
        <f aca="false">IF(OR('Cost Margin'!$B$4="Time &amp; materials",'Cost Margin'!$B$4="Staff augmentation"),D39*IF('Cost Margin'!$H25="",0,'Cost Margin'!$H25),0)</f>
        <v>0</v>
      </c>
      <c r="E61" s="7" t="n">
        <f aca="false">IF(OR('Cost Margin'!$B$4="Time &amp; materials",'Cost Margin'!$B$4="Staff augmentation"),E39*IF('Cost Margin'!$H25="",0,'Cost Margin'!$H25),0)</f>
        <v>0</v>
      </c>
      <c r="F61" s="7" t="n">
        <f aca="false">IF(OR('Cost Margin'!$B$4="Time &amp; materials",'Cost Margin'!$B$4="Staff augmentation"),F39*IF('Cost Margin'!$H25="",0,'Cost Margin'!$H25),0)</f>
        <v>0</v>
      </c>
      <c r="G61" s="7" t="n">
        <f aca="false">IF(OR('Cost Margin'!$B$4="Time &amp; materials",'Cost Margin'!$B$4="Staff augmentation"),G39*IF('Cost Margin'!$H25="",0,'Cost Margin'!$H25),0)</f>
        <v>0</v>
      </c>
      <c r="H61" s="7" t="n">
        <f aca="false">IF(OR('Cost Margin'!$B$4="Time &amp; materials",'Cost Margin'!$B$4="Staff augmentation"),H39*IF('Cost Margin'!$H25="",0,'Cost Margin'!$H25),0)</f>
        <v>0</v>
      </c>
      <c r="I61" s="7" t="n">
        <f aca="false">IF(OR('Cost Margin'!$B$4="Time &amp; materials",'Cost Margin'!$B$4="Staff augmentation"),I39*IF('Cost Margin'!$H25="",0,'Cost Margin'!$H25),0)</f>
        <v>0</v>
      </c>
      <c r="J61" s="7" t="n">
        <f aca="false">IF(OR('Cost Margin'!$B$4="Time &amp; materials",'Cost Margin'!$B$4="Staff augmentation"),J39*IF('Cost Margin'!$H25="",0,'Cost Margin'!$H25),0)</f>
        <v>0</v>
      </c>
      <c r="K61" s="7" t="n">
        <f aca="false">IF(OR('Cost Margin'!$B$4="Time &amp; materials",'Cost Margin'!$B$4="Staff augmentation"),K39*IF('Cost Margin'!$H25="",0,'Cost Margin'!$H25),0)</f>
        <v>0</v>
      </c>
      <c r="L61" s="7" t="n">
        <f aca="false">IF(OR('Cost Margin'!$B$4="Time &amp; materials",'Cost Margin'!$B$4="Staff augmentation"),L39*IF('Cost Margin'!$H25="",0,'Cost Margin'!$H25),0)</f>
        <v>0</v>
      </c>
      <c r="M61" s="7" t="n">
        <f aca="false">IF(OR('Cost Margin'!$B$4="Time &amp; materials",'Cost Margin'!$B$4="Staff augmentation"),M39*IF('Cost Margin'!$H25="",0,'Cost Margin'!$H25),0)</f>
        <v>0</v>
      </c>
      <c r="N61" s="7" t="n">
        <f aca="false">IF(OR('Cost Margin'!$B$4="Time &amp; materials",'Cost Margin'!$B$4="Staff augmentation"),N39*IF('Cost Margin'!$H25="",0,'Cost Margin'!$H25),0)</f>
        <v>0</v>
      </c>
      <c r="O61" s="7" t="n">
        <f aca="false">IF(OR('Cost Margin'!$B$4="Time &amp; materials",'Cost Margin'!$B$4="Staff augmentation"),O39*IF('Cost Margin'!$H25="",0,'Cost Margin'!$H25),0)</f>
        <v>0</v>
      </c>
      <c r="P61" s="7" t="n">
        <f aca="false">IF(OR('Cost Margin'!$B$4="Time &amp; materials",'Cost Margin'!$B$4="Staff augmentation"),P39*IF('Cost Margin'!$H25="",0,'Cost Margin'!$H25),0)</f>
        <v>0</v>
      </c>
      <c r="Q61" s="7" t="n">
        <f aca="false">IF(OR('Cost Margin'!$B$4="Time &amp; materials",'Cost Margin'!$B$4="Staff augmentation"),Q39*IF('Cost Margin'!$H25="",0,'Cost Margin'!$H25),0)</f>
        <v>0</v>
      </c>
      <c r="R61" s="7" t="n">
        <f aca="false">IF(OR('Cost Margin'!$B$4="Time &amp; materials",'Cost Margin'!$B$4="Staff augmentation"),R39*IF('Cost Margin'!$H25="",0,'Cost Margin'!$H25),0)</f>
        <v>0</v>
      </c>
      <c r="S61" s="7" t="n">
        <f aca="false">IF(OR('Cost Margin'!$B$4="Time &amp; materials",'Cost Margin'!$B$4="Staff augmentation"),S39*IF('Cost Margin'!$H25="",0,'Cost Margin'!$H25),0)</f>
        <v>0</v>
      </c>
      <c r="T61" s="7" t="n">
        <f aca="false">IF(OR('Cost Margin'!$B$4="Time &amp; materials",'Cost Margin'!$B$4="Staff augmentation"),T39*IF('Cost Margin'!$H25="",0,'Cost Margin'!$H25),0)</f>
        <v>0</v>
      </c>
      <c r="U61" s="7" t="n">
        <f aca="false">IF(OR('Cost Margin'!$B$4="Time &amp; materials",'Cost Margin'!$B$4="Staff augmentation"),U39*IF('Cost Margin'!$H25="",0,'Cost Margin'!$H25),0)</f>
        <v>0</v>
      </c>
      <c r="V61" s="7" t="n">
        <f aca="false">IF(OR('Cost Margin'!$B$4="Time &amp; materials",'Cost Margin'!$B$4="Staff augmentation"),V39*IF('Cost Margin'!$H25="",0,'Cost Margin'!$H25),0)</f>
        <v>0</v>
      </c>
      <c r="W61" s="7" t="n">
        <f aca="false">IF(OR('Cost Margin'!$B$4="Time &amp; materials",'Cost Margin'!$B$4="Staff augmentation"),W39*IF('Cost Margin'!$H25="",0,'Cost Margin'!$H25),0)</f>
        <v>0</v>
      </c>
      <c r="X61" s="7" t="n">
        <f aca="false">IF(OR('Cost Margin'!$B$4="Time &amp; materials",'Cost Margin'!$B$4="Staff augmentation"),X39*IF('Cost Margin'!$H25="",0,'Cost Margin'!$H25),0)</f>
        <v>0</v>
      </c>
      <c r="Y61" s="7" t="n">
        <f aca="false">IF(OR('Cost Margin'!$B$4="Time &amp; materials",'Cost Margin'!$B$4="Staff augmentation"),Y39*IF('Cost Margin'!$H25="",0,'Cost Margin'!$H25),0)</f>
        <v>0</v>
      </c>
      <c r="Z61" s="7" t="n">
        <f aca="false">IF(OR('Cost Margin'!$B$4="Time &amp; materials",'Cost Margin'!$B$4="Staff augmentation"),Z39*IF('Cost Margin'!$H25="",0,'Cost Margin'!$H25),0)</f>
        <v>0</v>
      </c>
      <c r="AB61" s="34" t="str">
        <f aca="false">IF('Cost Margin'!A25="","",IF('Cost Margin'!E25="","(unassigned)",'Cost Margin'!E25))</f>
        <v/>
      </c>
    </row>
    <row r="62" customFormat="false" ht="15" hidden="false" customHeight="false" outlineLevel="0" collapsed="false">
      <c r="A62" s="0" t="n">
        <v>10</v>
      </c>
      <c r="B62" s="34" t="str">
        <f aca="false">IF('Cost Margin'!A26="","",'Cost Margin'!A26&amp;IF('Cost Margin'!E26="",""," · "&amp;'Cost Margin'!E26))</f>
        <v/>
      </c>
      <c r="C62" s="7" t="n">
        <f aca="false">IF(OR('Cost Margin'!$B$4="Time &amp; materials",'Cost Margin'!$B$4="Staff augmentation"),C40*IF('Cost Margin'!$H26="",0,'Cost Margin'!$H26),0)</f>
        <v>0</v>
      </c>
      <c r="D62" s="7" t="n">
        <f aca="false">IF(OR('Cost Margin'!$B$4="Time &amp; materials",'Cost Margin'!$B$4="Staff augmentation"),D40*IF('Cost Margin'!$H26="",0,'Cost Margin'!$H26),0)</f>
        <v>0</v>
      </c>
      <c r="E62" s="7" t="n">
        <f aca="false">IF(OR('Cost Margin'!$B$4="Time &amp; materials",'Cost Margin'!$B$4="Staff augmentation"),E40*IF('Cost Margin'!$H26="",0,'Cost Margin'!$H26),0)</f>
        <v>0</v>
      </c>
      <c r="F62" s="7" t="n">
        <f aca="false">IF(OR('Cost Margin'!$B$4="Time &amp; materials",'Cost Margin'!$B$4="Staff augmentation"),F40*IF('Cost Margin'!$H26="",0,'Cost Margin'!$H26),0)</f>
        <v>0</v>
      </c>
      <c r="G62" s="7" t="n">
        <f aca="false">IF(OR('Cost Margin'!$B$4="Time &amp; materials",'Cost Margin'!$B$4="Staff augmentation"),G40*IF('Cost Margin'!$H26="",0,'Cost Margin'!$H26),0)</f>
        <v>0</v>
      </c>
      <c r="H62" s="7" t="n">
        <f aca="false">IF(OR('Cost Margin'!$B$4="Time &amp; materials",'Cost Margin'!$B$4="Staff augmentation"),H40*IF('Cost Margin'!$H26="",0,'Cost Margin'!$H26),0)</f>
        <v>0</v>
      </c>
      <c r="I62" s="7" t="n">
        <f aca="false">IF(OR('Cost Margin'!$B$4="Time &amp; materials",'Cost Margin'!$B$4="Staff augmentation"),I40*IF('Cost Margin'!$H26="",0,'Cost Margin'!$H26),0)</f>
        <v>0</v>
      </c>
      <c r="J62" s="7" t="n">
        <f aca="false">IF(OR('Cost Margin'!$B$4="Time &amp; materials",'Cost Margin'!$B$4="Staff augmentation"),J40*IF('Cost Margin'!$H26="",0,'Cost Margin'!$H26),0)</f>
        <v>0</v>
      </c>
      <c r="K62" s="7" t="n">
        <f aca="false">IF(OR('Cost Margin'!$B$4="Time &amp; materials",'Cost Margin'!$B$4="Staff augmentation"),K40*IF('Cost Margin'!$H26="",0,'Cost Margin'!$H26),0)</f>
        <v>0</v>
      </c>
      <c r="L62" s="7" t="n">
        <f aca="false">IF(OR('Cost Margin'!$B$4="Time &amp; materials",'Cost Margin'!$B$4="Staff augmentation"),L40*IF('Cost Margin'!$H26="",0,'Cost Margin'!$H26),0)</f>
        <v>0</v>
      </c>
      <c r="M62" s="7" t="n">
        <f aca="false">IF(OR('Cost Margin'!$B$4="Time &amp; materials",'Cost Margin'!$B$4="Staff augmentation"),M40*IF('Cost Margin'!$H26="",0,'Cost Margin'!$H26),0)</f>
        <v>0</v>
      </c>
      <c r="N62" s="7" t="n">
        <f aca="false">IF(OR('Cost Margin'!$B$4="Time &amp; materials",'Cost Margin'!$B$4="Staff augmentation"),N40*IF('Cost Margin'!$H26="",0,'Cost Margin'!$H26),0)</f>
        <v>0</v>
      </c>
      <c r="O62" s="7" t="n">
        <f aca="false">IF(OR('Cost Margin'!$B$4="Time &amp; materials",'Cost Margin'!$B$4="Staff augmentation"),O40*IF('Cost Margin'!$H26="",0,'Cost Margin'!$H26),0)</f>
        <v>0</v>
      </c>
      <c r="P62" s="7" t="n">
        <f aca="false">IF(OR('Cost Margin'!$B$4="Time &amp; materials",'Cost Margin'!$B$4="Staff augmentation"),P40*IF('Cost Margin'!$H26="",0,'Cost Margin'!$H26),0)</f>
        <v>0</v>
      </c>
      <c r="Q62" s="7" t="n">
        <f aca="false">IF(OR('Cost Margin'!$B$4="Time &amp; materials",'Cost Margin'!$B$4="Staff augmentation"),Q40*IF('Cost Margin'!$H26="",0,'Cost Margin'!$H26),0)</f>
        <v>0</v>
      </c>
      <c r="R62" s="7" t="n">
        <f aca="false">IF(OR('Cost Margin'!$B$4="Time &amp; materials",'Cost Margin'!$B$4="Staff augmentation"),R40*IF('Cost Margin'!$H26="",0,'Cost Margin'!$H26),0)</f>
        <v>0</v>
      </c>
      <c r="S62" s="7" t="n">
        <f aca="false">IF(OR('Cost Margin'!$B$4="Time &amp; materials",'Cost Margin'!$B$4="Staff augmentation"),S40*IF('Cost Margin'!$H26="",0,'Cost Margin'!$H26),0)</f>
        <v>0</v>
      </c>
      <c r="T62" s="7" t="n">
        <f aca="false">IF(OR('Cost Margin'!$B$4="Time &amp; materials",'Cost Margin'!$B$4="Staff augmentation"),T40*IF('Cost Margin'!$H26="",0,'Cost Margin'!$H26),0)</f>
        <v>0</v>
      </c>
      <c r="U62" s="7" t="n">
        <f aca="false">IF(OR('Cost Margin'!$B$4="Time &amp; materials",'Cost Margin'!$B$4="Staff augmentation"),U40*IF('Cost Margin'!$H26="",0,'Cost Margin'!$H26),0)</f>
        <v>0</v>
      </c>
      <c r="V62" s="7" t="n">
        <f aca="false">IF(OR('Cost Margin'!$B$4="Time &amp; materials",'Cost Margin'!$B$4="Staff augmentation"),V40*IF('Cost Margin'!$H26="",0,'Cost Margin'!$H26),0)</f>
        <v>0</v>
      </c>
      <c r="W62" s="7" t="n">
        <f aca="false">IF(OR('Cost Margin'!$B$4="Time &amp; materials",'Cost Margin'!$B$4="Staff augmentation"),W40*IF('Cost Margin'!$H26="",0,'Cost Margin'!$H26),0)</f>
        <v>0</v>
      </c>
      <c r="X62" s="7" t="n">
        <f aca="false">IF(OR('Cost Margin'!$B$4="Time &amp; materials",'Cost Margin'!$B$4="Staff augmentation"),X40*IF('Cost Margin'!$H26="",0,'Cost Margin'!$H26),0)</f>
        <v>0</v>
      </c>
      <c r="Y62" s="7" t="n">
        <f aca="false">IF(OR('Cost Margin'!$B$4="Time &amp; materials",'Cost Margin'!$B$4="Staff augmentation"),Y40*IF('Cost Margin'!$H26="",0,'Cost Margin'!$H26),0)</f>
        <v>0</v>
      </c>
      <c r="Z62" s="7" t="n">
        <f aca="false">IF(OR('Cost Margin'!$B$4="Time &amp; materials",'Cost Margin'!$B$4="Staff augmentation"),Z40*IF('Cost Margin'!$H26="",0,'Cost Margin'!$H26),0)</f>
        <v>0</v>
      </c>
      <c r="AB62" s="34" t="str">
        <f aca="false">IF('Cost Margin'!A26="","",IF('Cost Margin'!E26="","(unassigned)",'Cost Margin'!E26))</f>
        <v/>
      </c>
    </row>
    <row r="63" customFormat="false" ht="15" hidden="false" customHeight="false" outlineLevel="0" collapsed="false">
      <c r="A63" s="0" t="n">
        <v>11</v>
      </c>
      <c r="B63" s="34" t="str">
        <f aca="false">IF('Cost Margin'!A27="","",'Cost Margin'!A27&amp;IF('Cost Margin'!E27="",""," · "&amp;'Cost Margin'!E27))</f>
        <v/>
      </c>
      <c r="C63" s="7" t="n">
        <f aca="false">IF(OR('Cost Margin'!$B$4="Time &amp; materials",'Cost Margin'!$B$4="Staff augmentation"),C41*IF('Cost Margin'!$H27="",0,'Cost Margin'!$H27),0)</f>
        <v>0</v>
      </c>
      <c r="D63" s="7" t="n">
        <f aca="false">IF(OR('Cost Margin'!$B$4="Time &amp; materials",'Cost Margin'!$B$4="Staff augmentation"),D41*IF('Cost Margin'!$H27="",0,'Cost Margin'!$H27),0)</f>
        <v>0</v>
      </c>
      <c r="E63" s="7" t="n">
        <f aca="false">IF(OR('Cost Margin'!$B$4="Time &amp; materials",'Cost Margin'!$B$4="Staff augmentation"),E41*IF('Cost Margin'!$H27="",0,'Cost Margin'!$H27),0)</f>
        <v>0</v>
      </c>
      <c r="F63" s="7" t="n">
        <f aca="false">IF(OR('Cost Margin'!$B$4="Time &amp; materials",'Cost Margin'!$B$4="Staff augmentation"),F41*IF('Cost Margin'!$H27="",0,'Cost Margin'!$H27),0)</f>
        <v>0</v>
      </c>
      <c r="G63" s="7" t="n">
        <f aca="false">IF(OR('Cost Margin'!$B$4="Time &amp; materials",'Cost Margin'!$B$4="Staff augmentation"),G41*IF('Cost Margin'!$H27="",0,'Cost Margin'!$H27),0)</f>
        <v>0</v>
      </c>
      <c r="H63" s="7" t="n">
        <f aca="false">IF(OR('Cost Margin'!$B$4="Time &amp; materials",'Cost Margin'!$B$4="Staff augmentation"),H41*IF('Cost Margin'!$H27="",0,'Cost Margin'!$H27),0)</f>
        <v>0</v>
      </c>
      <c r="I63" s="7" t="n">
        <f aca="false">IF(OR('Cost Margin'!$B$4="Time &amp; materials",'Cost Margin'!$B$4="Staff augmentation"),I41*IF('Cost Margin'!$H27="",0,'Cost Margin'!$H27),0)</f>
        <v>0</v>
      </c>
      <c r="J63" s="7" t="n">
        <f aca="false">IF(OR('Cost Margin'!$B$4="Time &amp; materials",'Cost Margin'!$B$4="Staff augmentation"),J41*IF('Cost Margin'!$H27="",0,'Cost Margin'!$H27),0)</f>
        <v>0</v>
      </c>
      <c r="K63" s="7" t="n">
        <f aca="false">IF(OR('Cost Margin'!$B$4="Time &amp; materials",'Cost Margin'!$B$4="Staff augmentation"),K41*IF('Cost Margin'!$H27="",0,'Cost Margin'!$H27),0)</f>
        <v>0</v>
      </c>
      <c r="L63" s="7" t="n">
        <f aca="false">IF(OR('Cost Margin'!$B$4="Time &amp; materials",'Cost Margin'!$B$4="Staff augmentation"),L41*IF('Cost Margin'!$H27="",0,'Cost Margin'!$H27),0)</f>
        <v>0</v>
      </c>
      <c r="M63" s="7" t="n">
        <f aca="false">IF(OR('Cost Margin'!$B$4="Time &amp; materials",'Cost Margin'!$B$4="Staff augmentation"),M41*IF('Cost Margin'!$H27="",0,'Cost Margin'!$H27),0)</f>
        <v>0</v>
      </c>
      <c r="N63" s="7" t="n">
        <f aca="false">IF(OR('Cost Margin'!$B$4="Time &amp; materials",'Cost Margin'!$B$4="Staff augmentation"),N41*IF('Cost Margin'!$H27="",0,'Cost Margin'!$H27),0)</f>
        <v>0</v>
      </c>
      <c r="O63" s="7" t="n">
        <f aca="false">IF(OR('Cost Margin'!$B$4="Time &amp; materials",'Cost Margin'!$B$4="Staff augmentation"),O41*IF('Cost Margin'!$H27="",0,'Cost Margin'!$H27),0)</f>
        <v>0</v>
      </c>
      <c r="P63" s="7" t="n">
        <f aca="false">IF(OR('Cost Margin'!$B$4="Time &amp; materials",'Cost Margin'!$B$4="Staff augmentation"),P41*IF('Cost Margin'!$H27="",0,'Cost Margin'!$H27),0)</f>
        <v>0</v>
      </c>
      <c r="Q63" s="7" t="n">
        <f aca="false">IF(OR('Cost Margin'!$B$4="Time &amp; materials",'Cost Margin'!$B$4="Staff augmentation"),Q41*IF('Cost Margin'!$H27="",0,'Cost Margin'!$H27),0)</f>
        <v>0</v>
      </c>
      <c r="R63" s="7" t="n">
        <f aca="false">IF(OR('Cost Margin'!$B$4="Time &amp; materials",'Cost Margin'!$B$4="Staff augmentation"),R41*IF('Cost Margin'!$H27="",0,'Cost Margin'!$H27),0)</f>
        <v>0</v>
      </c>
      <c r="S63" s="7" t="n">
        <f aca="false">IF(OR('Cost Margin'!$B$4="Time &amp; materials",'Cost Margin'!$B$4="Staff augmentation"),S41*IF('Cost Margin'!$H27="",0,'Cost Margin'!$H27),0)</f>
        <v>0</v>
      </c>
      <c r="T63" s="7" t="n">
        <f aca="false">IF(OR('Cost Margin'!$B$4="Time &amp; materials",'Cost Margin'!$B$4="Staff augmentation"),T41*IF('Cost Margin'!$H27="",0,'Cost Margin'!$H27),0)</f>
        <v>0</v>
      </c>
      <c r="U63" s="7" t="n">
        <f aca="false">IF(OR('Cost Margin'!$B$4="Time &amp; materials",'Cost Margin'!$B$4="Staff augmentation"),U41*IF('Cost Margin'!$H27="",0,'Cost Margin'!$H27),0)</f>
        <v>0</v>
      </c>
      <c r="V63" s="7" t="n">
        <f aca="false">IF(OR('Cost Margin'!$B$4="Time &amp; materials",'Cost Margin'!$B$4="Staff augmentation"),V41*IF('Cost Margin'!$H27="",0,'Cost Margin'!$H27),0)</f>
        <v>0</v>
      </c>
      <c r="W63" s="7" t="n">
        <f aca="false">IF(OR('Cost Margin'!$B$4="Time &amp; materials",'Cost Margin'!$B$4="Staff augmentation"),W41*IF('Cost Margin'!$H27="",0,'Cost Margin'!$H27),0)</f>
        <v>0</v>
      </c>
      <c r="X63" s="7" t="n">
        <f aca="false">IF(OR('Cost Margin'!$B$4="Time &amp; materials",'Cost Margin'!$B$4="Staff augmentation"),X41*IF('Cost Margin'!$H27="",0,'Cost Margin'!$H27),0)</f>
        <v>0</v>
      </c>
      <c r="Y63" s="7" t="n">
        <f aca="false">IF(OR('Cost Margin'!$B$4="Time &amp; materials",'Cost Margin'!$B$4="Staff augmentation"),Y41*IF('Cost Margin'!$H27="",0,'Cost Margin'!$H27),0)</f>
        <v>0</v>
      </c>
      <c r="Z63" s="7" t="n">
        <f aca="false">IF(OR('Cost Margin'!$B$4="Time &amp; materials",'Cost Margin'!$B$4="Staff augmentation"),Z41*IF('Cost Margin'!$H27="",0,'Cost Margin'!$H27),0)</f>
        <v>0</v>
      </c>
      <c r="AB63" s="34" t="str">
        <f aca="false">IF('Cost Margin'!A27="","",IF('Cost Margin'!E27="","(unassigned)",'Cost Margin'!E27))</f>
        <v/>
      </c>
    </row>
    <row r="64" customFormat="false" ht="15" hidden="false" customHeight="false" outlineLevel="0" collapsed="false">
      <c r="A64" s="0" t="n">
        <v>12</v>
      </c>
      <c r="B64" s="34" t="str">
        <f aca="false">IF('Cost Margin'!A28="","",'Cost Margin'!A28&amp;IF('Cost Margin'!E28="",""," · "&amp;'Cost Margin'!E28))</f>
        <v/>
      </c>
      <c r="C64" s="7" t="n">
        <f aca="false">IF(OR('Cost Margin'!$B$4="Time &amp; materials",'Cost Margin'!$B$4="Staff augmentation"),C42*IF('Cost Margin'!$H28="",0,'Cost Margin'!$H28),0)</f>
        <v>0</v>
      </c>
      <c r="D64" s="7" t="n">
        <f aca="false">IF(OR('Cost Margin'!$B$4="Time &amp; materials",'Cost Margin'!$B$4="Staff augmentation"),D42*IF('Cost Margin'!$H28="",0,'Cost Margin'!$H28),0)</f>
        <v>0</v>
      </c>
      <c r="E64" s="7" t="n">
        <f aca="false">IF(OR('Cost Margin'!$B$4="Time &amp; materials",'Cost Margin'!$B$4="Staff augmentation"),E42*IF('Cost Margin'!$H28="",0,'Cost Margin'!$H28),0)</f>
        <v>0</v>
      </c>
      <c r="F64" s="7" t="n">
        <f aca="false">IF(OR('Cost Margin'!$B$4="Time &amp; materials",'Cost Margin'!$B$4="Staff augmentation"),F42*IF('Cost Margin'!$H28="",0,'Cost Margin'!$H28),0)</f>
        <v>0</v>
      </c>
      <c r="G64" s="7" t="n">
        <f aca="false">IF(OR('Cost Margin'!$B$4="Time &amp; materials",'Cost Margin'!$B$4="Staff augmentation"),G42*IF('Cost Margin'!$H28="",0,'Cost Margin'!$H28),0)</f>
        <v>0</v>
      </c>
      <c r="H64" s="7" t="n">
        <f aca="false">IF(OR('Cost Margin'!$B$4="Time &amp; materials",'Cost Margin'!$B$4="Staff augmentation"),H42*IF('Cost Margin'!$H28="",0,'Cost Margin'!$H28),0)</f>
        <v>0</v>
      </c>
      <c r="I64" s="7" t="n">
        <f aca="false">IF(OR('Cost Margin'!$B$4="Time &amp; materials",'Cost Margin'!$B$4="Staff augmentation"),I42*IF('Cost Margin'!$H28="",0,'Cost Margin'!$H28),0)</f>
        <v>0</v>
      </c>
      <c r="J64" s="7" t="n">
        <f aca="false">IF(OR('Cost Margin'!$B$4="Time &amp; materials",'Cost Margin'!$B$4="Staff augmentation"),J42*IF('Cost Margin'!$H28="",0,'Cost Margin'!$H28),0)</f>
        <v>0</v>
      </c>
      <c r="K64" s="7" t="n">
        <f aca="false">IF(OR('Cost Margin'!$B$4="Time &amp; materials",'Cost Margin'!$B$4="Staff augmentation"),K42*IF('Cost Margin'!$H28="",0,'Cost Margin'!$H28),0)</f>
        <v>0</v>
      </c>
      <c r="L64" s="7" t="n">
        <f aca="false">IF(OR('Cost Margin'!$B$4="Time &amp; materials",'Cost Margin'!$B$4="Staff augmentation"),L42*IF('Cost Margin'!$H28="",0,'Cost Margin'!$H28),0)</f>
        <v>0</v>
      </c>
      <c r="M64" s="7" t="n">
        <f aca="false">IF(OR('Cost Margin'!$B$4="Time &amp; materials",'Cost Margin'!$B$4="Staff augmentation"),M42*IF('Cost Margin'!$H28="",0,'Cost Margin'!$H28),0)</f>
        <v>0</v>
      </c>
      <c r="N64" s="7" t="n">
        <f aca="false">IF(OR('Cost Margin'!$B$4="Time &amp; materials",'Cost Margin'!$B$4="Staff augmentation"),N42*IF('Cost Margin'!$H28="",0,'Cost Margin'!$H28),0)</f>
        <v>0</v>
      </c>
      <c r="O64" s="7" t="n">
        <f aca="false">IF(OR('Cost Margin'!$B$4="Time &amp; materials",'Cost Margin'!$B$4="Staff augmentation"),O42*IF('Cost Margin'!$H28="",0,'Cost Margin'!$H28),0)</f>
        <v>0</v>
      </c>
      <c r="P64" s="7" t="n">
        <f aca="false">IF(OR('Cost Margin'!$B$4="Time &amp; materials",'Cost Margin'!$B$4="Staff augmentation"),P42*IF('Cost Margin'!$H28="",0,'Cost Margin'!$H28),0)</f>
        <v>0</v>
      </c>
      <c r="Q64" s="7" t="n">
        <f aca="false">IF(OR('Cost Margin'!$B$4="Time &amp; materials",'Cost Margin'!$B$4="Staff augmentation"),Q42*IF('Cost Margin'!$H28="",0,'Cost Margin'!$H28),0)</f>
        <v>0</v>
      </c>
      <c r="R64" s="7" t="n">
        <f aca="false">IF(OR('Cost Margin'!$B$4="Time &amp; materials",'Cost Margin'!$B$4="Staff augmentation"),R42*IF('Cost Margin'!$H28="",0,'Cost Margin'!$H28),0)</f>
        <v>0</v>
      </c>
      <c r="S64" s="7" t="n">
        <f aca="false">IF(OR('Cost Margin'!$B$4="Time &amp; materials",'Cost Margin'!$B$4="Staff augmentation"),S42*IF('Cost Margin'!$H28="",0,'Cost Margin'!$H28),0)</f>
        <v>0</v>
      </c>
      <c r="T64" s="7" t="n">
        <f aca="false">IF(OR('Cost Margin'!$B$4="Time &amp; materials",'Cost Margin'!$B$4="Staff augmentation"),T42*IF('Cost Margin'!$H28="",0,'Cost Margin'!$H28),0)</f>
        <v>0</v>
      </c>
      <c r="U64" s="7" t="n">
        <f aca="false">IF(OR('Cost Margin'!$B$4="Time &amp; materials",'Cost Margin'!$B$4="Staff augmentation"),U42*IF('Cost Margin'!$H28="",0,'Cost Margin'!$H28),0)</f>
        <v>0</v>
      </c>
      <c r="V64" s="7" t="n">
        <f aca="false">IF(OR('Cost Margin'!$B$4="Time &amp; materials",'Cost Margin'!$B$4="Staff augmentation"),V42*IF('Cost Margin'!$H28="",0,'Cost Margin'!$H28),0)</f>
        <v>0</v>
      </c>
      <c r="W64" s="7" t="n">
        <f aca="false">IF(OR('Cost Margin'!$B$4="Time &amp; materials",'Cost Margin'!$B$4="Staff augmentation"),W42*IF('Cost Margin'!$H28="",0,'Cost Margin'!$H28),0)</f>
        <v>0</v>
      </c>
      <c r="X64" s="7" t="n">
        <f aca="false">IF(OR('Cost Margin'!$B$4="Time &amp; materials",'Cost Margin'!$B$4="Staff augmentation"),X42*IF('Cost Margin'!$H28="",0,'Cost Margin'!$H28),0)</f>
        <v>0</v>
      </c>
      <c r="Y64" s="7" t="n">
        <f aca="false">IF(OR('Cost Margin'!$B$4="Time &amp; materials",'Cost Margin'!$B$4="Staff augmentation"),Y42*IF('Cost Margin'!$H28="",0,'Cost Margin'!$H28),0)</f>
        <v>0</v>
      </c>
      <c r="Z64" s="7" t="n">
        <f aca="false">IF(OR('Cost Margin'!$B$4="Time &amp; materials",'Cost Margin'!$B$4="Staff augmentation"),Z42*IF('Cost Margin'!$H28="",0,'Cost Margin'!$H28),0)</f>
        <v>0</v>
      </c>
      <c r="AB64" s="34" t="str">
        <f aca="false">IF('Cost Margin'!A28="","",IF('Cost Margin'!E28="","(unassigned)",'Cost Margin'!E28))</f>
        <v/>
      </c>
    </row>
    <row r="65" customFormat="false" ht="15" hidden="false" customHeight="false" outlineLevel="0" collapsed="false">
      <c r="A65" s="0" t="n">
        <v>13</v>
      </c>
      <c r="B65" s="34" t="str">
        <f aca="false">IF('Cost Margin'!A29="","",'Cost Margin'!A29&amp;IF('Cost Margin'!E29="",""," · "&amp;'Cost Margin'!E29))</f>
        <v/>
      </c>
      <c r="C65" s="7" t="n">
        <f aca="false">IF(OR('Cost Margin'!$B$4="Time &amp; materials",'Cost Margin'!$B$4="Staff augmentation"),C43*IF('Cost Margin'!$H29="",0,'Cost Margin'!$H29),0)</f>
        <v>0</v>
      </c>
      <c r="D65" s="7" t="n">
        <f aca="false">IF(OR('Cost Margin'!$B$4="Time &amp; materials",'Cost Margin'!$B$4="Staff augmentation"),D43*IF('Cost Margin'!$H29="",0,'Cost Margin'!$H29),0)</f>
        <v>0</v>
      </c>
      <c r="E65" s="7" t="n">
        <f aca="false">IF(OR('Cost Margin'!$B$4="Time &amp; materials",'Cost Margin'!$B$4="Staff augmentation"),E43*IF('Cost Margin'!$H29="",0,'Cost Margin'!$H29),0)</f>
        <v>0</v>
      </c>
      <c r="F65" s="7" t="n">
        <f aca="false">IF(OR('Cost Margin'!$B$4="Time &amp; materials",'Cost Margin'!$B$4="Staff augmentation"),F43*IF('Cost Margin'!$H29="",0,'Cost Margin'!$H29),0)</f>
        <v>0</v>
      </c>
      <c r="G65" s="7" t="n">
        <f aca="false">IF(OR('Cost Margin'!$B$4="Time &amp; materials",'Cost Margin'!$B$4="Staff augmentation"),G43*IF('Cost Margin'!$H29="",0,'Cost Margin'!$H29),0)</f>
        <v>0</v>
      </c>
      <c r="H65" s="7" t="n">
        <f aca="false">IF(OR('Cost Margin'!$B$4="Time &amp; materials",'Cost Margin'!$B$4="Staff augmentation"),H43*IF('Cost Margin'!$H29="",0,'Cost Margin'!$H29),0)</f>
        <v>0</v>
      </c>
      <c r="I65" s="7" t="n">
        <f aca="false">IF(OR('Cost Margin'!$B$4="Time &amp; materials",'Cost Margin'!$B$4="Staff augmentation"),I43*IF('Cost Margin'!$H29="",0,'Cost Margin'!$H29),0)</f>
        <v>0</v>
      </c>
      <c r="J65" s="7" t="n">
        <f aca="false">IF(OR('Cost Margin'!$B$4="Time &amp; materials",'Cost Margin'!$B$4="Staff augmentation"),J43*IF('Cost Margin'!$H29="",0,'Cost Margin'!$H29),0)</f>
        <v>0</v>
      </c>
      <c r="K65" s="7" t="n">
        <f aca="false">IF(OR('Cost Margin'!$B$4="Time &amp; materials",'Cost Margin'!$B$4="Staff augmentation"),K43*IF('Cost Margin'!$H29="",0,'Cost Margin'!$H29),0)</f>
        <v>0</v>
      </c>
      <c r="L65" s="7" t="n">
        <f aca="false">IF(OR('Cost Margin'!$B$4="Time &amp; materials",'Cost Margin'!$B$4="Staff augmentation"),L43*IF('Cost Margin'!$H29="",0,'Cost Margin'!$H29),0)</f>
        <v>0</v>
      </c>
      <c r="M65" s="7" t="n">
        <f aca="false">IF(OR('Cost Margin'!$B$4="Time &amp; materials",'Cost Margin'!$B$4="Staff augmentation"),M43*IF('Cost Margin'!$H29="",0,'Cost Margin'!$H29),0)</f>
        <v>0</v>
      </c>
      <c r="N65" s="7" t="n">
        <f aca="false">IF(OR('Cost Margin'!$B$4="Time &amp; materials",'Cost Margin'!$B$4="Staff augmentation"),N43*IF('Cost Margin'!$H29="",0,'Cost Margin'!$H29),0)</f>
        <v>0</v>
      </c>
      <c r="O65" s="7" t="n">
        <f aca="false">IF(OR('Cost Margin'!$B$4="Time &amp; materials",'Cost Margin'!$B$4="Staff augmentation"),O43*IF('Cost Margin'!$H29="",0,'Cost Margin'!$H29),0)</f>
        <v>0</v>
      </c>
      <c r="P65" s="7" t="n">
        <f aca="false">IF(OR('Cost Margin'!$B$4="Time &amp; materials",'Cost Margin'!$B$4="Staff augmentation"),P43*IF('Cost Margin'!$H29="",0,'Cost Margin'!$H29),0)</f>
        <v>0</v>
      </c>
      <c r="Q65" s="7" t="n">
        <f aca="false">IF(OR('Cost Margin'!$B$4="Time &amp; materials",'Cost Margin'!$B$4="Staff augmentation"),Q43*IF('Cost Margin'!$H29="",0,'Cost Margin'!$H29),0)</f>
        <v>0</v>
      </c>
      <c r="R65" s="7" t="n">
        <f aca="false">IF(OR('Cost Margin'!$B$4="Time &amp; materials",'Cost Margin'!$B$4="Staff augmentation"),R43*IF('Cost Margin'!$H29="",0,'Cost Margin'!$H29),0)</f>
        <v>0</v>
      </c>
      <c r="S65" s="7" t="n">
        <f aca="false">IF(OR('Cost Margin'!$B$4="Time &amp; materials",'Cost Margin'!$B$4="Staff augmentation"),S43*IF('Cost Margin'!$H29="",0,'Cost Margin'!$H29),0)</f>
        <v>0</v>
      </c>
      <c r="T65" s="7" t="n">
        <f aca="false">IF(OR('Cost Margin'!$B$4="Time &amp; materials",'Cost Margin'!$B$4="Staff augmentation"),T43*IF('Cost Margin'!$H29="",0,'Cost Margin'!$H29),0)</f>
        <v>0</v>
      </c>
      <c r="U65" s="7" t="n">
        <f aca="false">IF(OR('Cost Margin'!$B$4="Time &amp; materials",'Cost Margin'!$B$4="Staff augmentation"),U43*IF('Cost Margin'!$H29="",0,'Cost Margin'!$H29),0)</f>
        <v>0</v>
      </c>
      <c r="V65" s="7" t="n">
        <f aca="false">IF(OR('Cost Margin'!$B$4="Time &amp; materials",'Cost Margin'!$B$4="Staff augmentation"),V43*IF('Cost Margin'!$H29="",0,'Cost Margin'!$H29),0)</f>
        <v>0</v>
      </c>
      <c r="W65" s="7" t="n">
        <f aca="false">IF(OR('Cost Margin'!$B$4="Time &amp; materials",'Cost Margin'!$B$4="Staff augmentation"),W43*IF('Cost Margin'!$H29="",0,'Cost Margin'!$H29),0)</f>
        <v>0</v>
      </c>
      <c r="X65" s="7" t="n">
        <f aca="false">IF(OR('Cost Margin'!$B$4="Time &amp; materials",'Cost Margin'!$B$4="Staff augmentation"),X43*IF('Cost Margin'!$H29="",0,'Cost Margin'!$H29),0)</f>
        <v>0</v>
      </c>
      <c r="Y65" s="7" t="n">
        <f aca="false">IF(OR('Cost Margin'!$B$4="Time &amp; materials",'Cost Margin'!$B$4="Staff augmentation"),Y43*IF('Cost Margin'!$H29="",0,'Cost Margin'!$H29),0)</f>
        <v>0</v>
      </c>
      <c r="Z65" s="7" t="n">
        <f aca="false">IF(OR('Cost Margin'!$B$4="Time &amp; materials",'Cost Margin'!$B$4="Staff augmentation"),Z43*IF('Cost Margin'!$H29="",0,'Cost Margin'!$H29),0)</f>
        <v>0</v>
      </c>
      <c r="AB65" s="34" t="str">
        <f aca="false">IF('Cost Margin'!A29="","",IF('Cost Margin'!E29="","(unassigned)",'Cost Margin'!E29))</f>
        <v/>
      </c>
    </row>
    <row r="66" customFormat="false" ht="15" hidden="false" customHeight="false" outlineLevel="0" collapsed="false">
      <c r="A66" s="0" t="n">
        <v>14</v>
      </c>
      <c r="B66" s="34" t="str">
        <f aca="false">IF('Cost Margin'!A30="","",'Cost Margin'!A30&amp;IF('Cost Margin'!E30="",""," · "&amp;'Cost Margin'!E30))</f>
        <v/>
      </c>
      <c r="C66" s="7" t="n">
        <f aca="false">IF(OR('Cost Margin'!$B$4="Time &amp; materials",'Cost Margin'!$B$4="Staff augmentation"),C44*IF('Cost Margin'!$H30="",0,'Cost Margin'!$H30),0)</f>
        <v>0</v>
      </c>
      <c r="D66" s="7" t="n">
        <f aca="false">IF(OR('Cost Margin'!$B$4="Time &amp; materials",'Cost Margin'!$B$4="Staff augmentation"),D44*IF('Cost Margin'!$H30="",0,'Cost Margin'!$H30),0)</f>
        <v>0</v>
      </c>
      <c r="E66" s="7" t="n">
        <f aca="false">IF(OR('Cost Margin'!$B$4="Time &amp; materials",'Cost Margin'!$B$4="Staff augmentation"),E44*IF('Cost Margin'!$H30="",0,'Cost Margin'!$H30),0)</f>
        <v>0</v>
      </c>
      <c r="F66" s="7" t="n">
        <f aca="false">IF(OR('Cost Margin'!$B$4="Time &amp; materials",'Cost Margin'!$B$4="Staff augmentation"),F44*IF('Cost Margin'!$H30="",0,'Cost Margin'!$H30),0)</f>
        <v>0</v>
      </c>
      <c r="G66" s="7" t="n">
        <f aca="false">IF(OR('Cost Margin'!$B$4="Time &amp; materials",'Cost Margin'!$B$4="Staff augmentation"),G44*IF('Cost Margin'!$H30="",0,'Cost Margin'!$H30),0)</f>
        <v>0</v>
      </c>
      <c r="H66" s="7" t="n">
        <f aca="false">IF(OR('Cost Margin'!$B$4="Time &amp; materials",'Cost Margin'!$B$4="Staff augmentation"),H44*IF('Cost Margin'!$H30="",0,'Cost Margin'!$H30),0)</f>
        <v>0</v>
      </c>
      <c r="I66" s="7" t="n">
        <f aca="false">IF(OR('Cost Margin'!$B$4="Time &amp; materials",'Cost Margin'!$B$4="Staff augmentation"),I44*IF('Cost Margin'!$H30="",0,'Cost Margin'!$H30),0)</f>
        <v>0</v>
      </c>
      <c r="J66" s="7" t="n">
        <f aca="false">IF(OR('Cost Margin'!$B$4="Time &amp; materials",'Cost Margin'!$B$4="Staff augmentation"),J44*IF('Cost Margin'!$H30="",0,'Cost Margin'!$H30),0)</f>
        <v>0</v>
      </c>
      <c r="K66" s="7" t="n">
        <f aca="false">IF(OR('Cost Margin'!$B$4="Time &amp; materials",'Cost Margin'!$B$4="Staff augmentation"),K44*IF('Cost Margin'!$H30="",0,'Cost Margin'!$H30),0)</f>
        <v>0</v>
      </c>
      <c r="L66" s="7" t="n">
        <f aca="false">IF(OR('Cost Margin'!$B$4="Time &amp; materials",'Cost Margin'!$B$4="Staff augmentation"),L44*IF('Cost Margin'!$H30="",0,'Cost Margin'!$H30),0)</f>
        <v>0</v>
      </c>
      <c r="M66" s="7" t="n">
        <f aca="false">IF(OR('Cost Margin'!$B$4="Time &amp; materials",'Cost Margin'!$B$4="Staff augmentation"),M44*IF('Cost Margin'!$H30="",0,'Cost Margin'!$H30),0)</f>
        <v>0</v>
      </c>
      <c r="N66" s="7" t="n">
        <f aca="false">IF(OR('Cost Margin'!$B$4="Time &amp; materials",'Cost Margin'!$B$4="Staff augmentation"),N44*IF('Cost Margin'!$H30="",0,'Cost Margin'!$H30),0)</f>
        <v>0</v>
      </c>
      <c r="O66" s="7" t="n">
        <f aca="false">IF(OR('Cost Margin'!$B$4="Time &amp; materials",'Cost Margin'!$B$4="Staff augmentation"),O44*IF('Cost Margin'!$H30="",0,'Cost Margin'!$H30),0)</f>
        <v>0</v>
      </c>
      <c r="P66" s="7" t="n">
        <f aca="false">IF(OR('Cost Margin'!$B$4="Time &amp; materials",'Cost Margin'!$B$4="Staff augmentation"),P44*IF('Cost Margin'!$H30="",0,'Cost Margin'!$H30),0)</f>
        <v>0</v>
      </c>
      <c r="Q66" s="7" t="n">
        <f aca="false">IF(OR('Cost Margin'!$B$4="Time &amp; materials",'Cost Margin'!$B$4="Staff augmentation"),Q44*IF('Cost Margin'!$H30="",0,'Cost Margin'!$H30),0)</f>
        <v>0</v>
      </c>
      <c r="R66" s="7" t="n">
        <f aca="false">IF(OR('Cost Margin'!$B$4="Time &amp; materials",'Cost Margin'!$B$4="Staff augmentation"),R44*IF('Cost Margin'!$H30="",0,'Cost Margin'!$H30),0)</f>
        <v>0</v>
      </c>
      <c r="S66" s="7" t="n">
        <f aca="false">IF(OR('Cost Margin'!$B$4="Time &amp; materials",'Cost Margin'!$B$4="Staff augmentation"),S44*IF('Cost Margin'!$H30="",0,'Cost Margin'!$H30),0)</f>
        <v>0</v>
      </c>
      <c r="T66" s="7" t="n">
        <f aca="false">IF(OR('Cost Margin'!$B$4="Time &amp; materials",'Cost Margin'!$B$4="Staff augmentation"),T44*IF('Cost Margin'!$H30="",0,'Cost Margin'!$H30),0)</f>
        <v>0</v>
      </c>
      <c r="U66" s="7" t="n">
        <f aca="false">IF(OR('Cost Margin'!$B$4="Time &amp; materials",'Cost Margin'!$B$4="Staff augmentation"),U44*IF('Cost Margin'!$H30="",0,'Cost Margin'!$H30),0)</f>
        <v>0</v>
      </c>
      <c r="V66" s="7" t="n">
        <f aca="false">IF(OR('Cost Margin'!$B$4="Time &amp; materials",'Cost Margin'!$B$4="Staff augmentation"),V44*IF('Cost Margin'!$H30="",0,'Cost Margin'!$H30),0)</f>
        <v>0</v>
      </c>
      <c r="W66" s="7" t="n">
        <f aca="false">IF(OR('Cost Margin'!$B$4="Time &amp; materials",'Cost Margin'!$B$4="Staff augmentation"),W44*IF('Cost Margin'!$H30="",0,'Cost Margin'!$H30),0)</f>
        <v>0</v>
      </c>
      <c r="X66" s="7" t="n">
        <f aca="false">IF(OR('Cost Margin'!$B$4="Time &amp; materials",'Cost Margin'!$B$4="Staff augmentation"),X44*IF('Cost Margin'!$H30="",0,'Cost Margin'!$H30),0)</f>
        <v>0</v>
      </c>
      <c r="Y66" s="7" t="n">
        <f aca="false">IF(OR('Cost Margin'!$B$4="Time &amp; materials",'Cost Margin'!$B$4="Staff augmentation"),Y44*IF('Cost Margin'!$H30="",0,'Cost Margin'!$H30),0)</f>
        <v>0</v>
      </c>
      <c r="Z66" s="7" t="n">
        <f aca="false">IF(OR('Cost Margin'!$B$4="Time &amp; materials",'Cost Margin'!$B$4="Staff augmentation"),Z44*IF('Cost Margin'!$H30="",0,'Cost Margin'!$H30),0)</f>
        <v>0</v>
      </c>
      <c r="AB66" s="34" t="str">
        <f aca="false">IF('Cost Margin'!A30="","",IF('Cost Margin'!E30="","(unassigned)",'Cost Margin'!E30))</f>
        <v/>
      </c>
    </row>
    <row r="67" customFormat="false" ht="15" hidden="false" customHeight="false" outlineLevel="0" collapsed="false">
      <c r="A67" s="0" t="n">
        <v>15</v>
      </c>
      <c r="B67" s="34" t="str">
        <f aca="false">IF('Cost Margin'!A31="","",'Cost Margin'!A31&amp;IF('Cost Margin'!E31="",""," · "&amp;'Cost Margin'!E31))</f>
        <v/>
      </c>
      <c r="C67" s="7" t="n">
        <f aca="false">IF(OR('Cost Margin'!$B$4="Time &amp; materials",'Cost Margin'!$B$4="Staff augmentation"),C45*IF('Cost Margin'!$H31="",0,'Cost Margin'!$H31),0)</f>
        <v>0</v>
      </c>
      <c r="D67" s="7" t="n">
        <f aca="false">IF(OR('Cost Margin'!$B$4="Time &amp; materials",'Cost Margin'!$B$4="Staff augmentation"),D45*IF('Cost Margin'!$H31="",0,'Cost Margin'!$H31),0)</f>
        <v>0</v>
      </c>
      <c r="E67" s="7" t="n">
        <f aca="false">IF(OR('Cost Margin'!$B$4="Time &amp; materials",'Cost Margin'!$B$4="Staff augmentation"),E45*IF('Cost Margin'!$H31="",0,'Cost Margin'!$H31),0)</f>
        <v>0</v>
      </c>
      <c r="F67" s="7" t="n">
        <f aca="false">IF(OR('Cost Margin'!$B$4="Time &amp; materials",'Cost Margin'!$B$4="Staff augmentation"),F45*IF('Cost Margin'!$H31="",0,'Cost Margin'!$H31),0)</f>
        <v>0</v>
      </c>
      <c r="G67" s="7" t="n">
        <f aca="false">IF(OR('Cost Margin'!$B$4="Time &amp; materials",'Cost Margin'!$B$4="Staff augmentation"),G45*IF('Cost Margin'!$H31="",0,'Cost Margin'!$H31),0)</f>
        <v>0</v>
      </c>
      <c r="H67" s="7" t="n">
        <f aca="false">IF(OR('Cost Margin'!$B$4="Time &amp; materials",'Cost Margin'!$B$4="Staff augmentation"),H45*IF('Cost Margin'!$H31="",0,'Cost Margin'!$H31),0)</f>
        <v>0</v>
      </c>
      <c r="I67" s="7" t="n">
        <f aca="false">IF(OR('Cost Margin'!$B$4="Time &amp; materials",'Cost Margin'!$B$4="Staff augmentation"),I45*IF('Cost Margin'!$H31="",0,'Cost Margin'!$H31),0)</f>
        <v>0</v>
      </c>
      <c r="J67" s="7" t="n">
        <f aca="false">IF(OR('Cost Margin'!$B$4="Time &amp; materials",'Cost Margin'!$B$4="Staff augmentation"),J45*IF('Cost Margin'!$H31="",0,'Cost Margin'!$H31),0)</f>
        <v>0</v>
      </c>
      <c r="K67" s="7" t="n">
        <f aca="false">IF(OR('Cost Margin'!$B$4="Time &amp; materials",'Cost Margin'!$B$4="Staff augmentation"),K45*IF('Cost Margin'!$H31="",0,'Cost Margin'!$H31),0)</f>
        <v>0</v>
      </c>
      <c r="L67" s="7" t="n">
        <f aca="false">IF(OR('Cost Margin'!$B$4="Time &amp; materials",'Cost Margin'!$B$4="Staff augmentation"),L45*IF('Cost Margin'!$H31="",0,'Cost Margin'!$H31),0)</f>
        <v>0</v>
      </c>
      <c r="M67" s="7" t="n">
        <f aca="false">IF(OR('Cost Margin'!$B$4="Time &amp; materials",'Cost Margin'!$B$4="Staff augmentation"),M45*IF('Cost Margin'!$H31="",0,'Cost Margin'!$H31),0)</f>
        <v>0</v>
      </c>
      <c r="N67" s="7" t="n">
        <f aca="false">IF(OR('Cost Margin'!$B$4="Time &amp; materials",'Cost Margin'!$B$4="Staff augmentation"),N45*IF('Cost Margin'!$H31="",0,'Cost Margin'!$H31),0)</f>
        <v>0</v>
      </c>
      <c r="O67" s="7" t="n">
        <f aca="false">IF(OR('Cost Margin'!$B$4="Time &amp; materials",'Cost Margin'!$B$4="Staff augmentation"),O45*IF('Cost Margin'!$H31="",0,'Cost Margin'!$H31),0)</f>
        <v>0</v>
      </c>
      <c r="P67" s="7" t="n">
        <f aca="false">IF(OR('Cost Margin'!$B$4="Time &amp; materials",'Cost Margin'!$B$4="Staff augmentation"),P45*IF('Cost Margin'!$H31="",0,'Cost Margin'!$H31),0)</f>
        <v>0</v>
      </c>
      <c r="Q67" s="7" t="n">
        <f aca="false">IF(OR('Cost Margin'!$B$4="Time &amp; materials",'Cost Margin'!$B$4="Staff augmentation"),Q45*IF('Cost Margin'!$H31="",0,'Cost Margin'!$H31),0)</f>
        <v>0</v>
      </c>
      <c r="R67" s="7" t="n">
        <f aca="false">IF(OR('Cost Margin'!$B$4="Time &amp; materials",'Cost Margin'!$B$4="Staff augmentation"),R45*IF('Cost Margin'!$H31="",0,'Cost Margin'!$H31),0)</f>
        <v>0</v>
      </c>
      <c r="S67" s="7" t="n">
        <f aca="false">IF(OR('Cost Margin'!$B$4="Time &amp; materials",'Cost Margin'!$B$4="Staff augmentation"),S45*IF('Cost Margin'!$H31="",0,'Cost Margin'!$H31),0)</f>
        <v>0</v>
      </c>
      <c r="T67" s="7" t="n">
        <f aca="false">IF(OR('Cost Margin'!$B$4="Time &amp; materials",'Cost Margin'!$B$4="Staff augmentation"),T45*IF('Cost Margin'!$H31="",0,'Cost Margin'!$H31),0)</f>
        <v>0</v>
      </c>
      <c r="U67" s="7" t="n">
        <f aca="false">IF(OR('Cost Margin'!$B$4="Time &amp; materials",'Cost Margin'!$B$4="Staff augmentation"),U45*IF('Cost Margin'!$H31="",0,'Cost Margin'!$H31),0)</f>
        <v>0</v>
      </c>
      <c r="V67" s="7" t="n">
        <f aca="false">IF(OR('Cost Margin'!$B$4="Time &amp; materials",'Cost Margin'!$B$4="Staff augmentation"),V45*IF('Cost Margin'!$H31="",0,'Cost Margin'!$H31),0)</f>
        <v>0</v>
      </c>
      <c r="W67" s="7" t="n">
        <f aca="false">IF(OR('Cost Margin'!$B$4="Time &amp; materials",'Cost Margin'!$B$4="Staff augmentation"),W45*IF('Cost Margin'!$H31="",0,'Cost Margin'!$H31),0)</f>
        <v>0</v>
      </c>
      <c r="X67" s="7" t="n">
        <f aca="false">IF(OR('Cost Margin'!$B$4="Time &amp; materials",'Cost Margin'!$B$4="Staff augmentation"),X45*IF('Cost Margin'!$H31="",0,'Cost Margin'!$H31),0)</f>
        <v>0</v>
      </c>
      <c r="Y67" s="7" t="n">
        <f aca="false">IF(OR('Cost Margin'!$B$4="Time &amp; materials",'Cost Margin'!$B$4="Staff augmentation"),Y45*IF('Cost Margin'!$H31="",0,'Cost Margin'!$H31),0)</f>
        <v>0</v>
      </c>
      <c r="Z67" s="7" t="n">
        <f aca="false">IF(OR('Cost Margin'!$B$4="Time &amp; materials",'Cost Margin'!$B$4="Staff augmentation"),Z45*IF('Cost Margin'!$H31="",0,'Cost Margin'!$H31),0)</f>
        <v>0</v>
      </c>
      <c r="AB67" s="34" t="str">
        <f aca="false">IF('Cost Margin'!A31="","",IF('Cost Margin'!E31="","(unassigned)",'Cost Margin'!E31))</f>
        <v/>
      </c>
    </row>
    <row r="68" customFormat="false" ht="15" hidden="false" customHeight="false" outlineLevel="0" collapsed="false">
      <c r="A68" s="0" t="n">
        <v>16</v>
      </c>
      <c r="B68" s="34" t="str">
        <f aca="false">IF('Cost Margin'!A32="","",'Cost Margin'!A32&amp;IF('Cost Margin'!E32="",""," · "&amp;'Cost Margin'!E32))</f>
        <v/>
      </c>
      <c r="C68" s="7" t="n">
        <f aca="false">IF(OR('Cost Margin'!$B$4="Time &amp; materials",'Cost Margin'!$B$4="Staff augmentation"),C46*IF('Cost Margin'!$H32="",0,'Cost Margin'!$H32),0)</f>
        <v>0</v>
      </c>
      <c r="D68" s="7" t="n">
        <f aca="false">IF(OR('Cost Margin'!$B$4="Time &amp; materials",'Cost Margin'!$B$4="Staff augmentation"),D46*IF('Cost Margin'!$H32="",0,'Cost Margin'!$H32),0)</f>
        <v>0</v>
      </c>
      <c r="E68" s="7" t="n">
        <f aca="false">IF(OR('Cost Margin'!$B$4="Time &amp; materials",'Cost Margin'!$B$4="Staff augmentation"),E46*IF('Cost Margin'!$H32="",0,'Cost Margin'!$H32),0)</f>
        <v>0</v>
      </c>
      <c r="F68" s="7" t="n">
        <f aca="false">IF(OR('Cost Margin'!$B$4="Time &amp; materials",'Cost Margin'!$B$4="Staff augmentation"),F46*IF('Cost Margin'!$H32="",0,'Cost Margin'!$H32),0)</f>
        <v>0</v>
      </c>
      <c r="G68" s="7" t="n">
        <f aca="false">IF(OR('Cost Margin'!$B$4="Time &amp; materials",'Cost Margin'!$B$4="Staff augmentation"),G46*IF('Cost Margin'!$H32="",0,'Cost Margin'!$H32),0)</f>
        <v>0</v>
      </c>
      <c r="H68" s="7" t="n">
        <f aca="false">IF(OR('Cost Margin'!$B$4="Time &amp; materials",'Cost Margin'!$B$4="Staff augmentation"),H46*IF('Cost Margin'!$H32="",0,'Cost Margin'!$H32),0)</f>
        <v>0</v>
      </c>
      <c r="I68" s="7" t="n">
        <f aca="false">IF(OR('Cost Margin'!$B$4="Time &amp; materials",'Cost Margin'!$B$4="Staff augmentation"),I46*IF('Cost Margin'!$H32="",0,'Cost Margin'!$H32),0)</f>
        <v>0</v>
      </c>
      <c r="J68" s="7" t="n">
        <f aca="false">IF(OR('Cost Margin'!$B$4="Time &amp; materials",'Cost Margin'!$B$4="Staff augmentation"),J46*IF('Cost Margin'!$H32="",0,'Cost Margin'!$H32),0)</f>
        <v>0</v>
      </c>
      <c r="K68" s="7" t="n">
        <f aca="false">IF(OR('Cost Margin'!$B$4="Time &amp; materials",'Cost Margin'!$B$4="Staff augmentation"),K46*IF('Cost Margin'!$H32="",0,'Cost Margin'!$H32),0)</f>
        <v>0</v>
      </c>
      <c r="L68" s="7" t="n">
        <f aca="false">IF(OR('Cost Margin'!$B$4="Time &amp; materials",'Cost Margin'!$B$4="Staff augmentation"),L46*IF('Cost Margin'!$H32="",0,'Cost Margin'!$H32),0)</f>
        <v>0</v>
      </c>
      <c r="M68" s="7" t="n">
        <f aca="false">IF(OR('Cost Margin'!$B$4="Time &amp; materials",'Cost Margin'!$B$4="Staff augmentation"),M46*IF('Cost Margin'!$H32="",0,'Cost Margin'!$H32),0)</f>
        <v>0</v>
      </c>
      <c r="N68" s="7" t="n">
        <f aca="false">IF(OR('Cost Margin'!$B$4="Time &amp; materials",'Cost Margin'!$B$4="Staff augmentation"),N46*IF('Cost Margin'!$H32="",0,'Cost Margin'!$H32),0)</f>
        <v>0</v>
      </c>
      <c r="O68" s="7" t="n">
        <f aca="false">IF(OR('Cost Margin'!$B$4="Time &amp; materials",'Cost Margin'!$B$4="Staff augmentation"),O46*IF('Cost Margin'!$H32="",0,'Cost Margin'!$H32),0)</f>
        <v>0</v>
      </c>
      <c r="P68" s="7" t="n">
        <f aca="false">IF(OR('Cost Margin'!$B$4="Time &amp; materials",'Cost Margin'!$B$4="Staff augmentation"),P46*IF('Cost Margin'!$H32="",0,'Cost Margin'!$H32),0)</f>
        <v>0</v>
      </c>
      <c r="Q68" s="7" t="n">
        <f aca="false">IF(OR('Cost Margin'!$B$4="Time &amp; materials",'Cost Margin'!$B$4="Staff augmentation"),Q46*IF('Cost Margin'!$H32="",0,'Cost Margin'!$H32),0)</f>
        <v>0</v>
      </c>
      <c r="R68" s="7" t="n">
        <f aca="false">IF(OR('Cost Margin'!$B$4="Time &amp; materials",'Cost Margin'!$B$4="Staff augmentation"),R46*IF('Cost Margin'!$H32="",0,'Cost Margin'!$H32),0)</f>
        <v>0</v>
      </c>
      <c r="S68" s="7" t="n">
        <f aca="false">IF(OR('Cost Margin'!$B$4="Time &amp; materials",'Cost Margin'!$B$4="Staff augmentation"),S46*IF('Cost Margin'!$H32="",0,'Cost Margin'!$H32),0)</f>
        <v>0</v>
      </c>
      <c r="T68" s="7" t="n">
        <f aca="false">IF(OR('Cost Margin'!$B$4="Time &amp; materials",'Cost Margin'!$B$4="Staff augmentation"),T46*IF('Cost Margin'!$H32="",0,'Cost Margin'!$H32),0)</f>
        <v>0</v>
      </c>
      <c r="U68" s="7" t="n">
        <f aca="false">IF(OR('Cost Margin'!$B$4="Time &amp; materials",'Cost Margin'!$B$4="Staff augmentation"),U46*IF('Cost Margin'!$H32="",0,'Cost Margin'!$H32),0)</f>
        <v>0</v>
      </c>
      <c r="V68" s="7" t="n">
        <f aca="false">IF(OR('Cost Margin'!$B$4="Time &amp; materials",'Cost Margin'!$B$4="Staff augmentation"),V46*IF('Cost Margin'!$H32="",0,'Cost Margin'!$H32),0)</f>
        <v>0</v>
      </c>
      <c r="W68" s="7" t="n">
        <f aca="false">IF(OR('Cost Margin'!$B$4="Time &amp; materials",'Cost Margin'!$B$4="Staff augmentation"),W46*IF('Cost Margin'!$H32="",0,'Cost Margin'!$H32),0)</f>
        <v>0</v>
      </c>
      <c r="X68" s="7" t="n">
        <f aca="false">IF(OR('Cost Margin'!$B$4="Time &amp; materials",'Cost Margin'!$B$4="Staff augmentation"),X46*IF('Cost Margin'!$H32="",0,'Cost Margin'!$H32),0)</f>
        <v>0</v>
      </c>
      <c r="Y68" s="7" t="n">
        <f aca="false">IF(OR('Cost Margin'!$B$4="Time &amp; materials",'Cost Margin'!$B$4="Staff augmentation"),Y46*IF('Cost Margin'!$H32="",0,'Cost Margin'!$H32),0)</f>
        <v>0</v>
      </c>
      <c r="Z68" s="7" t="n">
        <f aca="false">IF(OR('Cost Margin'!$B$4="Time &amp; materials",'Cost Margin'!$B$4="Staff augmentation"),Z46*IF('Cost Margin'!$H32="",0,'Cost Margin'!$H32),0)</f>
        <v>0</v>
      </c>
      <c r="AB68" s="34" t="str">
        <f aca="false">IF('Cost Margin'!A32="","",IF('Cost Margin'!E32="","(unassigned)",'Cost Margin'!E32))</f>
        <v/>
      </c>
    </row>
    <row r="69" customFormat="false" ht="15" hidden="false" customHeight="false" outlineLevel="0" collapsed="false">
      <c r="A69" s="0" t="n">
        <v>17</v>
      </c>
      <c r="B69" s="34" t="str">
        <f aca="false">IF('Cost Margin'!A33="","",'Cost Margin'!A33&amp;IF('Cost Margin'!E33="",""," · "&amp;'Cost Margin'!E33))</f>
        <v/>
      </c>
      <c r="C69" s="7" t="n">
        <f aca="false">IF(OR('Cost Margin'!$B$4="Time &amp; materials",'Cost Margin'!$B$4="Staff augmentation"),C47*IF('Cost Margin'!$H33="",0,'Cost Margin'!$H33),0)</f>
        <v>0</v>
      </c>
      <c r="D69" s="7" t="n">
        <f aca="false">IF(OR('Cost Margin'!$B$4="Time &amp; materials",'Cost Margin'!$B$4="Staff augmentation"),D47*IF('Cost Margin'!$H33="",0,'Cost Margin'!$H33),0)</f>
        <v>0</v>
      </c>
      <c r="E69" s="7" t="n">
        <f aca="false">IF(OR('Cost Margin'!$B$4="Time &amp; materials",'Cost Margin'!$B$4="Staff augmentation"),E47*IF('Cost Margin'!$H33="",0,'Cost Margin'!$H33),0)</f>
        <v>0</v>
      </c>
      <c r="F69" s="7" t="n">
        <f aca="false">IF(OR('Cost Margin'!$B$4="Time &amp; materials",'Cost Margin'!$B$4="Staff augmentation"),F47*IF('Cost Margin'!$H33="",0,'Cost Margin'!$H33),0)</f>
        <v>0</v>
      </c>
      <c r="G69" s="7" t="n">
        <f aca="false">IF(OR('Cost Margin'!$B$4="Time &amp; materials",'Cost Margin'!$B$4="Staff augmentation"),G47*IF('Cost Margin'!$H33="",0,'Cost Margin'!$H33),0)</f>
        <v>0</v>
      </c>
      <c r="H69" s="7" t="n">
        <f aca="false">IF(OR('Cost Margin'!$B$4="Time &amp; materials",'Cost Margin'!$B$4="Staff augmentation"),H47*IF('Cost Margin'!$H33="",0,'Cost Margin'!$H33),0)</f>
        <v>0</v>
      </c>
      <c r="I69" s="7" t="n">
        <f aca="false">IF(OR('Cost Margin'!$B$4="Time &amp; materials",'Cost Margin'!$B$4="Staff augmentation"),I47*IF('Cost Margin'!$H33="",0,'Cost Margin'!$H33),0)</f>
        <v>0</v>
      </c>
      <c r="J69" s="7" t="n">
        <f aca="false">IF(OR('Cost Margin'!$B$4="Time &amp; materials",'Cost Margin'!$B$4="Staff augmentation"),J47*IF('Cost Margin'!$H33="",0,'Cost Margin'!$H33),0)</f>
        <v>0</v>
      </c>
      <c r="K69" s="7" t="n">
        <f aca="false">IF(OR('Cost Margin'!$B$4="Time &amp; materials",'Cost Margin'!$B$4="Staff augmentation"),K47*IF('Cost Margin'!$H33="",0,'Cost Margin'!$H33),0)</f>
        <v>0</v>
      </c>
      <c r="L69" s="7" t="n">
        <f aca="false">IF(OR('Cost Margin'!$B$4="Time &amp; materials",'Cost Margin'!$B$4="Staff augmentation"),L47*IF('Cost Margin'!$H33="",0,'Cost Margin'!$H33),0)</f>
        <v>0</v>
      </c>
      <c r="M69" s="7" t="n">
        <f aca="false">IF(OR('Cost Margin'!$B$4="Time &amp; materials",'Cost Margin'!$B$4="Staff augmentation"),M47*IF('Cost Margin'!$H33="",0,'Cost Margin'!$H33),0)</f>
        <v>0</v>
      </c>
      <c r="N69" s="7" t="n">
        <f aca="false">IF(OR('Cost Margin'!$B$4="Time &amp; materials",'Cost Margin'!$B$4="Staff augmentation"),N47*IF('Cost Margin'!$H33="",0,'Cost Margin'!$H33),0)</f>
        <v>0</v>
      </c>
      <c r="O69" s="7" t="n">
        <f aca="false">IF(OR('Cost Margin'!$B$4="Time &amp; materials",'Cost Margin'!$B$4="Staff augmentation"),O47*IF('Cost Margin'!$H33="",0,'Cost Margin'!$H33),0)</f>
        <v>0</v>
      </c>
      <c r="P69" s="7" t="n">
        <f aca="false">IF(OR('Cost Margin'!$B$4="Time &amp; materials",'Cost Margin'!$B$4="Staff augmentation"),P47*IF('Cost Margin'!$H33="",0,'Cost Margin'!$H33),0)</f>
        <v>0</v>
      </c>
      <c r="Q69" s="7" t="n">
        <f aca="false">IF(OR('Cost Margin'!$B$4="Time &amp; materials",'Cost Margin'!$B$4="Staff augmentation"),Q47*IF('Cost Margin'!$H33="",0,'Cost Margin'!$H33),0)</f>
        <v>0</v>
      </c>
      <c r="R69" s="7" t="n">
        <f aca="false">IF(OR('Cost Margin'!$B$4="Time &amp; materials",'Cost Margin'!$B$4="Staff augmentation"),R47*IF('Cost Margin'!$H33="",0,'Cost Margin'!$H33),0)</f>
        <v>0</v>
      </c>
      <c r="S69" s="7" t="n">
        <f aca="false">IF(OR('Cost Margin'!$B$4="Time &amp; materials",'Cost Margin'!$B$4="Staff augmentation"),S47*IF('Cost Margin'!$H33="",0,'Cost Margin'!$H33),0)</f>
        <v>0</v>
      </c>
      <c r="T69" s="7" t="n">
        <f aca="false">IF(OR('Cost Margin'!$B$4="Time &amp; materials",'Cost Margin'!$B$4="Staff augmentation"),T47*IF('Cost Margin'!$H33="",0,'Cost Margin'!$H33),0)</f>
        <v>0</v>
      </c>
      <c r="U69" s="7" t="n">
        <f aca="false">IF(OR('Cost Margin'!$B$4="Time &amp; materials",'Cost Margin'!$B$4="Staff augmentation"),U47*IF('Cost Margin'!$H33="",0,'Cost Margin'!$H33),0)</f>
        <v>0</v>
      </c>
      <c r="V69" s="7" t="n">
        <f aca="false">IF(OR('Cost Margin'!$B$4="Time &amp; materials",'Cost Margin'!$B$4="Staff augmentation"),V47*IF('Cost Margin'!$H33="",0,'Cost Margin'!$H33),0)</f>
        <v>0</v>
      </c>
      <c r="W69" s="7" t="n">
        <f aca="false">IF(OR('Cost Margin'!$B$4="Time &amp; materials",'Cost Margin'!$B$4="Staff augmentation"),W47*IF('Cost Margin'!$H33="",0,'Cost Margin'!$H33),0)</f>
        <v>0</v>
      </c>
      <c r="X69" s="7" t="n">
        <f aca="false">IF(OR('Cost Margin'!$B$4="Time &amp; materials",'Cost Margin'!$B$4="Staff augmentation"),X47*IF('Cost Margin'!$H33="",0,'Cost Margin'!$H33),0)</f>
        <v>0</v>
      </c>
      <c r="Y69" s="7" t="n">
        <f aca="false">IF(OR('Cost Margin'!$B$4="Time &amp; materials",'Cost Margin'!$B$4="Staff augmentation"),Y47*IF('Cost Margin'!$H33="",0,'Cost Margin'!$H33),0)</f>
        <v>0</v>
      </c>
      <c r="Z69" s="7" t="n">
        <f aca="false">IF(OR('Cost Margin'!$B$4="Time &amp; materials",'Cost Margin'!$B$4="Staff augmentation"),Z47*IF('Cost Margin'!$H33="",0,'Cost Margin'!$H33),0)</f>
        <v>0</v>
      </c>
      <c r="AB69" s="34" t="str">
        <f aca="false">IF('Cost Margin'!A33="","",IF('Cost Margin'!E33="","(unassigned)",'Cost Margin'!E33))</f>
        <v/>
      </c>
    </row>
    <row r="70" customFormat="false" ht="15" hidden="false" customHeight="false" outlineLevel="0" collapsed="false">
      <c r="A70" s="0" t="n">
        <v>18</v>
      </c>
      <c r="B70" s="34" t="str">
        <f aca="false">IF('Cost Margin'!A34="","",'Cost Margin'!A34&amp;IF('Cost Margin'!E34="",""," · "&amp;'Cost Margin'!E34))</f>
        <v/>
      </c>
      <c r="C70" s="7" t="n">
        <f aca="false">IF(OR('Cost Margin'!$B$4="Time &amp; materials",'Cost Margin'!$B$4="Staff augmentation"),C48*IF('Cost Margin'!$H34="",0,'Cost Margin'!$H34),0)</f>
        <v>0</v>
      </c>
      <c r="D70" s="7" t="n">
        <f aca="false">IF(OR('Cost Margin'!$B$4="Time &amp; materials",'Cost Margin'!$B$4="Staff augmentation"),D48*IF('Cost Margin'!$H34="",0,'Cost Margin'!$H34),0)</f>
        <v>0</v>
      </c>
      <c r="E70" s="7" t="n">
        <f aca="false">IF(OR('Cost Margin'!$B$4="Time &amp; materials",'Cost Margin'!$B$4="Staff augmentation"),E48*IF('Cost Margin'!$H34="",0,'Cost Margin'!$H34),0)</f>
        <v>0</v>
      </c>
      <c r="F70" s="7" t="n">
        <f aca="false">IF(OR('Cost Margin'!$B$4="Time &amp; materials",'Cost Margin'!$B$4="Staff augmentation"),F48*IF('Cost Margin'!$H34="",0,'Cost Margin'!$H34),0)</f>
        <v>0</v>
      </c>
      <c r="G70" s="7" t="n">
        <f aca="false">IF(OR('Cost Margin'!$B$4="Time &amp; materials",'Cost Margin'!$B$4="Staff augmentation"),G48*IF('Cost Margin'!$H34="",0,'Cost Margin'!$H34),0)</f>
        <v>0</v>
      </c>
      <c r="H70" s="7" t="n">
        <f aca="false">IF(OR('Cost Margin'!$B$4="Time &amp; materials",'Cost Margin'!$B$4="Staff augmentation"),H48*IF('Cost Margin'!$H34="",0,'Cost Margin'!$H34),0)</f>
        <v>0</v>
      </c>
      <c r="I70" s="7" t="n">
        <f aca="false">IF(OR('Cost Margin'!$B$4="Time &amp; materials",'Cost Margin'!$B$4="Staff augmentation"),I48*IF('Cost Margin'!$H34="",0,'Cost Margin'!$H34),0)</f>
        <v>0</v>
      </c>
      <c r="J70" s="7" t="n">
        <f aca="false">IF(OR('Cost Margin'!$B$4="Time &amp; materials",'Cost Margin'!$B$4="Staff augmentation"),J48*IF('Cost Margin'!$H34="",0,'Cost Margin'!$H34),0)</f>
        <v>0</v>
      </c>
      <c r="K70" s="7" t="n">
        <f aca="false">IF(OR('Cost Margin'!$B$4="Time &amp; materials",'Cost Margin'!$B$4="Staff augmentation"),K48*IF('Cost Margin'!$H34="",0,'Cost Margin'!$H34),0)</f>
        <v>0</v>
      </c>
      <c r="L70" s="7" t="n">
        <f aca="false">IF(OR('Cost Margin'!$B$4="Time &amp; materials",'Cost Margin'!$B$4="Staff augmentation"),L48*IF('Cost Margin'!$H34="",0,'Cost Margin'!$H34),0)</f>
        <v>0</v>
      </c>
      <c r="M70" s="7" t="n">
        <f aca="false">IF(OR('Cost Margin'!$B$4="Time &amp; materials",'Cost Margin'!$B$4="Staff augmentation"),M48*IF('Cost Margin'!$H34="",0,'Cost Margin'!$H34),0)</f>
        <v>0</v>
      </c>
      <c r="N70" s="7" t="n">
        <f aca="false">IF(OR('Cost Margin'!$B$4="Time &amp; materials",'Cost Margin'!$B$4="Staff augmentation"),N48*IF('Cost Margin'!$H34="",0,'Cost Margin'!$H34),0)</f>
        <v>0</v>
      </c>
      <c r="O70" s="7" t="n">
        <f aca="false">IF(OR('Cost Margin'!$B$4="Time &amp; materials",'Cost Margin'!$B$4="Staff augmentation"),O48*IF('Cost Margin'!$H34="",0,'Cost Margin'!$H34),0)</f>
        <v>0</v>
      </c>
      <c r="P70" s="7" t="n">
        <f aca="false">IF(OR('Cost Margin'!$B$4="Time &amp; materials",'Cost Margin'!$B$4="Staff augmentation"),P48*IF('Cost Margin'!$H34="",0,'Cost Margin'!$H34),0)</f>
        <v>0</v>
      </c>
      <c r="Q70" s="7" t="n">
        <f aca="false">IF(OR('Cost Margin'!$B$4="Time &amp; materials",'Cost Margin'!$B$4="Staff augmentation"),Q48*IF('Cost Margin'!$H34="",0,'Cost Margin'!$H34),0)</f>
        <v>0</v>
      </c>
      <c r="R70" s="7" t="n">
        <f aca="false">IF(OR('Cost Margin'!$B$4="Time &amp; materials",'Cost Margin'!$B$4="Staff augmentation"),R48*IF('Cost Margin'!$H34="",0,'Cost Margin'!$H34),0)</f>
        <v>0</v>
      </c>
      <c r="S70" s="7" t="n">
        <f aca="false">IF(OR('Cost Margin'!$B$4="Time &amp; materials",'Cost Margin'!$B$4="Staff augmentation"),S48*IF('Cost Margin'!$H34="",0,'Cost Margin'!$H34),0)</f>
        <v>0</v>
      </c>
      <c r="T70" s="7" t="n">
        <f aca="false">IF(OR('Cost Margin'!$B$4="Time &amp; materials",'Cost Margin'!$B$4="Staff augmentation"),T48*IF('Cost Margin'!$H34="",0,'Cost Margin'!$H34),0)</f>
        <v>0</v>
      </c>
      <c r="U70" s="7" t="n">
        <f aca="false">IF(OR('Cost Margin'!$B$4="Time &amp; materials",'Cost Margin'!$B$4="Staff augmentation"),U48*IF('Cost Margin'!$H34="",0,'Cost Margin'!$H34),0)</f>
        <v>0</v>
      </c>
      <c r="V70" s="7" t="n">
        <f aca="false">IF(OR('Cost Margin'!$B$4="Time &amp; materials",'Cost Margin'!$B$4="Staff augmentation"),V48*IF('Cost Margin'!$H34="",0,'Cost Margin'!$H34),0)</f>
        <v>0</v>
      </c>
      <c r="W70" s="7" t="n">
        <f aca="false">IF(OR('Cost Margin'!$B$4="Time &amp; materials",'Cost Margin'!$B$4="Staff augmentation"),W48*IF('Cost Margin'!$H34="",0,'Cost Margin'!$H34),0)</f>
        <v>0</v>
      </c>
      <c r="X70" s="7" t="n">
        <f aca="false">IF(OR('Cost Margin'!$B$4="Time &amp; materials",'Cost Margin'!$B$4="Staff augmentation"),X48*IF('Cost Margin'!$H34="",0,'Cost Margin'!$H34),0)</f>
        <v>0</v>
      </c>
      <c r="Y70" s="7" t="n">
        <f aca="false">IF(OR('Cost Margin'!$B$4="Time &amp; materials",'Cost Margin'!$B$4="Staff augmentation"),Y48*IF('Cost Margin'!$H34="",0,'Cost Margin'!$H34),0)</f>
        <v>0</v>
      </c>
      <c r="Z70" s="7" t="n">
        <f aca="false">IF(OR('Cost Margin'!$B$4="Time &amp; materials",'Cost Margin'!$B$4="Staff augmentation"),Z48*IF('Cost Margin'!$H34="",0,'Cost Margin'!$H34),0)</f>
        <v>0</v>
      </c>
      <c r="AB70" s="34" t="str">
        <f aca="false">IF('Cost Margin'!A34="","",IF('Cost Margin'!E34="","(unassigned)",'Cost Margin'!E34))</f>
        <v/>
      </c>
    </row>
    <row r="71" customFormat="false" ht="15" hidden="false" customHeight="false" outlineLevel="0" collapsed="false">
      <c r="A71" s="0" t="n">
        <v>19</v>
      </c>
      <c r="B71" s="34" t="str">
        <f aca="false">IF('Cost Margin'!A35="","",'Cost Margin'!A35&amp;IF('Cost Margin'!E35="",""," · "&amp;'Cost Margin'!E35))</f>
        <v/>
      </c>
      <c r="C71" s="7" t="n">
        <f aca="false">IF(OR('Cost Margin'!$B$4="Time &amp; materials",'Cost Margin'!$B$4="Staff augmentation"),C49*IF('Cost Margin'!$H35="",0,'Cost Margin'!$H35),0)</f>
        <v>0</v>
      </c>
      <c r="D71" s="7" t="n">
        <f aca="false">IF(OR('Cost Margin'!$B$4="Time &amp; materials",'Cost Margin'!$B$4="Staff augmentation"),D49*IF('Cost Margin'!$H35="",0,'Cost Margin'!$H35),0)</f>
        <v>0</v>
      </c>
      <c r="E71" s="7" t="n">
        <f aca="false">IF(OR('Cost Margin'!$B$4="Time &amp; materials",'Cost Margin'!$B$4="Staff augmentation"),E49*IF('Cost Margin'!$H35="",0,'Cost Margin'!$H35),0)</f>
        <v>0</v>
      </c>
      <c r="F71" s="7" t="n">
        <f aca="false">IF(OR('Cost Margin'!$B$4="Time &amp; materials",'Cost Margin'!$B$4="Staff augmentation"),F49*IF('Cost Margin'!$H35="",0,'Cost Margin'!$H35),0)</f>
        <v>0</v>
      </c>
      <c r="G71" s="7" t="n">
        <f aca="false">IF(OR('Cost Margin'!$B$4="Time &amp; materials",'Cost Margin'!$B$4="Staff augmentation"),G49*IF('Cost Margin'!$H35="",0,'Cost Margin'!$H35),0)</f>
        <v>0</v>
      </c>
      <c r="H71" s="7" t="n">
        <f aca="false">IF(OR('Cost Margin'!$B$4="Time &amp; materials",'Cost Margin'!$B$4="Staff augmentation"),H49*IF('Cost Margin'!$H35="",0,'Cost Margin'!$H35),0)</f>
        <v>0</v>
      </c>
      <c r="I71" s="7" t="n">
        <f aca="false">IF(OR('Cost Margin'!$B$4="Time &amp; materials",'Cost Margin'!$B$4="Staff augmentation"),I49*IF('Cost Margin'!$H35="",0,'Cost Margin'!$H35),0)</f>
        <v>0</v>
      </c>
      <c r="J71" s="7" t="n">
        <f aca="false">IF(OR('Cost Margin'!$B$4="Time &amp; materials",'Cost Margin'!$B$4="Staff augmentation"),J49*IF('Cost Margin'!$H35="",0,'Cost Margin'!$H35),0)</f>
        <v>0</v>
      </c>
      <c r="K71" s="7" t="n">
        <f aca="false">IF(OR('Cost Margin'!$B$4="Time &amp; materials",'Cost Margin'!$B$4="Staff augmentation"),K49*IF('Cost Margin'!$H35="",0,'Cost Margin'!$H35),0)</f>
        <v>0</v>
      </c>
      <c r="L71" s="7" t="n">
        <f aca="false">IF(OR('Cost Margin'!$B$4="Time &amp; materials",'Cost Margin'!$B$4="Staff augmentation"),L49*IF('Cost Margin'!$H35="",0,'Cost Margin'!$H35),0)</f>
        <v>0</v>
      </c>
      <c r="M71" s="7" t="n">
        <f aca="false">IF(OR('Cost Margin'!$B$4="Time &amp; materials",'Cost Margin'!$B$4="Staff augmentation"),M49*IF('Cost Margin'!$H35="",0,'Cost Margin'!$H35),0)</f>
        <v>0</v>
      </c>
      <c r="N71" s="7" t="n">
        <f aca="false">IF(OR('Cost Margin'!$B$4="Time &amp; materials",'Cost Margin'!$B$4="Staff augmentation"),N49*IF('Cost Margin'!$H35="",0,'Cost Margin'!$H35),0)</f>
        <v>0</v>
      </c>
      <c r="O71" s="7" t="n">
        <f aca="false">IF(OR('Cost Margin'!$B$4="Time &amp; materials",'Cost Margin'!$B$4="Staff augmentation"),O49*IF('Cost Margin'!$H35="",0,'Cost Margin'!$H35),0)</f>
        <v>0</v>
      </c>
      <c r="P71" s="7" t="n">
        <f aca="false">IF(OR('Cost Margin'!$B$4="Time &amp; materials",'Cost Margin'!$B$4="Staff augmentation"),P49*IF('Cost Margin'!$H35="",0,'Cost Margin'!$H35),0)</f>
        <v>0</v>
      </c>
      <c r="Q71" s="7" t="n">
        <f aca="false">IF(OR('Cost Margin'!$B$4="Time &amp; materials",'Cost Margin'!$B$4="Staff augmentation"),Q49*IF('Cost Margin'!$H35="",0,'Cost Margin'!$H35),0)</f>
        <v>0</v>
      </c>
      <c r="R71" s="7" t="n">
        <f aca="false">IF(OR('Cost Margin'!$B$4="Time &amp; materials",'Cost Margin'!$B$4="Staff augmentation"),R49*IF('Cost Margin'!$H35="",0,'Cost Margin'!$H35),0)</f>
        <v>0</v>
      </c>
      <c r="S71" s="7" t="n">
        <f aca="false">IF(OR('Cost Margin'!$B$4="Time &amp; materials",'Cost Margin'!$B$4="Staff augmentation"),S49*IF('Cost Margin'!$H35="",0,'Cost Margin'!$H35),0)</f>
        <v>0</v>
      </c>
      <c r="T71" s="7" t="n">
        <f aca="false">IF(OR('Cost Margin'!$B$4="Time &amp; materials",'Cost Margin'!$B$4="Staff augmentation"),T49*IF('Cost Margin'!$H35="",0,'Cost Margin'!$H35),0)</f>
        <v>0</v>
      </c>
      <c r="U71" s="7" t="n">
        <f aca="false">IF(OR('Cost Margin'!$B$4="Time &amp; materials",'Cost Margin'!$B$4="Staff augmentation"),U49*IF('Cost Margin'!$H35="",0,'Cost Margin'!$H35),0)</f>
        <v>0</v>
      </c>
      <c r="V71" s="7" t="n">
        <f aca="false">IF(OR('Cost Margin'!$B$4="Time &amp; materials",'Cost Margin'!$B$4="Staff augmentation"),V49*IF('Cost Margin'!$H35="",0,'Cost Margin'!$H35),0)</f>
        <v>0</v>
      </c>
      <c r="W71" s="7" t="n">
        <f aca="false">IF(OR('Cost Margin'!$B$4="Time &amp; materials",'Cost Margin'!$B$4="Staff augmentation"),W49*IF('Cost Margin'!$H35="",0,'Cost Margin'!$H35),0)</f>
        <v>0</v>
      </c>
      <c r="X71" s="7" t="n">
        <f aca="false">IF(OR('Cost Margin'!$B$4="Time &amp; materials",'Cost Margin'!$B$4="Staff augmentation"),X49*IF('Cost Margin'!$H35="",0,'Cost Margin'!$H35),0)</f>
        <v>0</v>
      </c>
      <c r="Y71" s="7" t="n">
        <f aca="false">IF(OR('Cost Margin'!$B$4="Time &amp; materials",'Cost Margin'!$B$4="Staff augmentation"),Y49*IF('Cost Margin'!$H35="",0,'Cost Margin'!$H35),0)</f>
        <v>0</v>
      </c>
      <c r="Z71" s="7" t="n">
        <f aca="false">IF(OR('Cost Margin'!$B$4="Time &amp; materials",'Cost Margin'!$B$4="Staff augmentation"),Z49*IF('Cost Margin'!$H35="",0,'Cost Margin'!$H35),0)</f>
        <v>0</v>
      </c>
      <c r="AB71" s="34" t="str">
        <f aca="false">IF('Cost Margin'!A35="","",IF('Cost Margin'!E35="","(unassigned)",'Cost Margin'!E35))</f>
        <v/>
      </c>
    </row>
    <row r="72" customFormat="false" ht="15" hidden="false" customHeight="false" outlineLevel="0" collapsed="false">
      <c r="A72" s="0" t="n">
        <v>20</v>
      </c>
      <c r="B72" s="34" t="str">
        <f aca="false">IF('Cost Margin'!A36="","",'Cost Margin'!A36&amp;IF('Cost Margin'!E36="",""," · "&amp;'Cost Margin'!E36))</f>
        <v/>
      </c>
      <c r="C72" s="7" t="n">
        <f aca="false">IF(OR('Cost Margin'!$B$4="Time &amp; materials",'Cost Margin'!$B$4="Staff augmentation"),C50*IF('Cost Margin'!$H36="",0,'Cost Margin'!$H36),0)</f>
        <v>0</v>
      </c>
      <c r="D72" s="7" t="n">
        <f aca="false">IF(OR('Cost Margin'!$B$4="Time &amp; materials",'Cost Margin'!$B$4="Staff augmentation"),D50*IF('Cost Margin'!$H36="",0,'Cost Margin'!$H36),0)</f>
        <v>0</v>
      </c>
      <c r="E72" s="7" t="n">
        <f aca="false">IF(OR('Cost Margin'!$B$4="Time &amp; materials",'Cost Margin'!$B$4="Staff augmentation"),E50*IF('Cost Margin'!$H36="",0,'Cost Margin'!$H36),0)</f>
        <v>0</v>
      </c>
      <c r="F72" s="7" t="n">
        <f aca="false">IF(OR('Cost Margin'!$B$4="Time &amp; materials",'Cost Margin'!$B$4="Staff augmentation"),F50*IF('Cost Margin'!$H36="",0,'Cost Margin'!$H36),0)</f>
        <v>0</v>
      </c>
      <c r="G72" s="7" t="n">
        <f aca="false">IF(OR('Cost Margin'!$B$4="Time &amp; materials",'Cost Margin'!$B$4="Staff augmentation"),G50*IF('Cost Margin'!$H36="",0,'Cost Margin'!$H36),0)</f>
        <v>0</v>
      </c>
      <c r="H72" s="7" t="n">
        <f aca="false">IF(OR('Cost Margin'!$B$4="Time &amp; materials",'Cost Margin'!$B$4="Staff augmentation"),H50*IF('Cost Margin'!$H36="",0,'Cost Margin'!$H36),0)</f>
        <v>0</v>
      </c>
      <c r="I72" s="7" t="n">
        <f aca="false">IF(OR('Cost Margin'!$B$4="Time &amp; materials",'Cost Margin'!$B$4="Staff augmentation"),I50*IF('Cost Margin'!$H36="",0,'Cost Margin'!$H36),0)</f>
        <v>0</v>
      </c>
      <c r="J72" s="7" t="n">
        <f aca="false">IF(OR('Cost Margin'!$B$4="Time &amp; materials",'Cost Margin'!$B$4="Staff augmentation"),J50*IF('Cost Margin'!$H36="",0,'Cost Margin'!$H36),0)</f>
        <v>0</v>
      </c>
      <c r="K72" s="7" t="n">
        <f aca="false">IF(OR('Cost Margin'!$B$4="Time &amp; materials",'Cost Margin'!$B$4="Staff augmentation"),K50*IF('Cost Margin'!$H36="",0,'Cost Margin'!$H36),0)</f>
        <v>0</v>
      </c>
      <c r="L72" s="7" t="n">
        <f aca="false">IF(OR('Cost Margin'!$B$4="Time &amp; materials",'Cost Margin'!$B$4="Staff augmentation"),L50*IF('Cost Margin'!$H36="",0,'Cost Margin'!$H36),0)</f>
        <v>0</v>
      </c>
      <c r="M72" s="7" t="n">
        <f aca="false">IF(OR('Cost Margin'!$B$4="Time &amp; materials",'Cost Margin'!$B$4="Staff augmentation"),M50*IF('Cost Margin'!$H36="",0,'Cost Margin'!$H36),0)</f>
        <v>0</v>
      </c>
      <c r="N72" s="7" t="n">
        <f aca="false">IF(OR('Cost Margin'!$B$4="Time &amp; materials",'Cost Margin'!$B$4="Staff augmentation"),N50*IF('Cost Margin'!$H36="",0,'Cost Margin'!$H36),0)</f>
        <v>0</v>
      </c>
      <c r="O72" s="7" t="n">
        <f aca="false">IF(OR('Cost Margin'!$B$4="Time &amp; materials",'Cost Margin'!$B$4="Staff augmentation"),O50*IF('Cost Margin'!$H36="",0,'Cost Margin'!$H36),0)</f>
        <v>0</v>
      </c>
      <c r="P72" s="7" t="n">
        <f aca="false">IF(OR('Cost Margin'!$B$4="Time &amp; materials",'Cost Margin'!$B$4="Staff augmentation"),P50*IF('Cost Margin'!$H36="",0,'Cost Margin'!$H36),0)</f>
        <v>0</v>
      </c>
      <c r="Q72" s="7" t="n">
        <f aca="false">IF(OR('Cost Margin'!$B$4="Time &amp; materials",'Cost Margin'!$B$4="Staff augmentation"),Q50*IF('Cost Margin'!$H36="",0,'Cost Margin'!$H36),0)</f>
        <v>0</v>
      </c>
      <c r="R72" s="7" t="n">
        <f aca="false">IF(OR('Cost Margin'!$B$4="Time &amp; materials",'Cost Margin'!$B$4="Staff augmentation"),R50*IF('Cost Margin'!$H36="",0,'Cost Margin'!$H36),0)</f>
        <v>0</v>
      </c>
      <c r="S72" s="7" t="n">
        <f aca="false">IF(OR('Cost Margin'!$B$4="Time &amp; materials",'Cost Margin'!$B$4="Staff augmentation"),S50*IF('Cost Margin'!$H36="",0,'Cost Margin'!$H36),0)</f>
        <v>0</v>
      </c>
      <c r="T72" s="7" t="n">
        <f aca="false">IF(OR('Cost Margin'!$B$4="Time &amp; materials",'Cost Margin'!$B$4="Staff augmentation"),T50*IF('Cost Margin'!$H36="",0,'Cost Margin'!$H36),0)</f>
        <v>0</v>
      </c>
      <c r="U72" s="7" t="n">
        <f aca="false">IF(OR('Cost Margin'!$B$4="Time &amp; materials",'Cost Margin'!$B$4="Staff augmentation"),U50*IF('Cost Margin'!$H36="",0,'Cost Margin'!$H36),0)</f>
        <v>0</v>
      </c>
      <c r="V72" s="7" t="n">
        <f aca="false">IF(OR('Cost Margin'!$B$4="Time &amp; materials",'Cost Margin'!$B$4="Staff augmentation"),V50*IF('Cost Margin'!$H36="",0,'Cost Margin'!$H36),0)</f>
        <v>0</v>
      </c>
      <c r="W72" s="7" t="n">
        <f aca="false">IF(OR('Cost Margin'!$B$4="Time &amp; materials",'Cost Margin'!$B$4="Staff augmentation"),W50*IF('Cost Margin'!$H36="",0,'Cost Margin'!$H36),0)</f>
        <v>0</v>
      </c>
      <c r="X72" s="7" t="n">
        <f aca="false">IF(OR('Cost Margin'!$B$4="Time &amp; materials",'Cost Margin'!$B$4="Staff augmentation"),X50*IF('Cost Margin'!$H36="",0,'Cost Margin'!$H36),0)</f>
        <v>0</v>
      </c>
      <c r="Y72" s="7" t="n">
        <f aca="false">IF(OR('Cost Margin'!$B$4="Time &amp; materials",'Cost Margin'!$B$4="Staff augmentation"),Y50*IF('Cost Margin'!$H36="",0,'Cost Margin'!$H36),0)</f>
        <v>0</v>
      </c>
      <c r="Z72" s="7" t="n">
        <f aca="false">IF(OR('Cost Margin'!$B$4="Time &amp; materials",'Cost Margin'!$B$4="Staff augmentation"),Z50*IF('Cost Margin'!$H36="",0,'Cost Margin'!$H36),0)</f>
        <v>0</v>
      </c>
      <c r="AB72" s="34" t="str">
        <f aca="false">IF('Cost Margin'!A36="","",IF('Cost Margin'!E36="","(unassigned)",'Cost Margin'!E36))</f>
        <v/>
      </c>
    </row>
    <row r="74" customFormat="false" ht="15" hidden="false" customHeight="false" outlineLevel="0" collapsed="false">
      <c r="A74" s="3" t="s">
        <v>146</v>
      </c>
      <c r="AB74" s="13" t="s">
        <v>143</v>
      </c>
    </row>
    <row r="75" customFormat="false" ht="15" hidden="false" customHeight="false" outlineLevel="0" collapsed="false">
      <c r="A75" s="0" t="n">
        <v>1</v>
      </c>
      <c r="B75" s="34" t="str">
        <f aca="false">IF('Cost Margin'!A17="","",'Cost Margin'!A17&amp;IF('Cost Margin'!E17="",""," · "&amp;'Cost Margin'!E17))</f>
        <v/>
      </c>
      <c r="C75" s="7" t="n">
        <f aca="false">C31*IF('Cost Margin'!$I17="",0,'Cost Margin'!$I17)*(1+'Cost Margin'!$N17)</f>
        <v>0</v>
      </c>
      <c r="D75" s="7" t="n">
        <f aca="false">D31*IF('Cost Margin'!$I17="",0,'Cost Margin'!$I17)*(1+'Cost Margin'!$N17)</f>
        <v>0</v>
      </c>
      <c r="E75" s="7" t="n">
        <f aca="false">E31*IF('Cost Margin'!$I17="",0,'Cost Margin'!$I17)*(1+'Cost Margin'!$N17)</f>
        <v>0</v>
      </c>
      <c r="F75" s="7" t="n">
        <f aca="false">F31*IF('Cost Margin'!$I17="",0,'Cost Margin'!$I17)*(1+'Cost Margin'!$N17)</f>
        <v>0</v>
      </c>
      <c r="G75" s="7" t="n">
        <f aca="false">G31*IF('Cost Margin'!$I17="",0,'Cost Margin'!$I17)*(1+'Cost Margin'!$N17)</f>
        <v>0</v>
      </c>
      <c r="H75" s="7" t="n">
        <f aca="false">H31*IF('Cost Margin'!$I17="",0,'Cost Margin'!$I17)*(1+'Cost Margin'!$N17)</f>
        <v>0</v>
      </c>
      <c r="I75" s="7" t="n">
        <f aca="false">I31*IF('Cost Margin'!$I17="",0,'Cost Margin'!$I17)*(1+'Cost Margin'!$N17)</f>
        <v>0</v>
      </c>
      <c r="J75" s="7" t="n">
        <f aca="false">J31*IF('Cost Margin'!$I17="",0,'Cost Margin'!$I17)*(1+'Cost Margin'!$N17)</f>
        <v>0</v>
      </c>
      <c r="K75" s="7" t="n">
        <f aca="false">K31*IF('Cost Margin'!$I17="",0,'Cost Margin'!$I17)*(1+'Cost Margin'!$N17)</f>
        <v>0</v>
      </c>
      <c r="L75" s="7" t="n">
        <f aca="false">L31*IF('Cost Margin'!$I17="",0,'Cost Margin'!$I17)*(1+'Cost Margin'!$N17)</f>
        <v>0</v>
      </c>
      <c r="M75" s="7" t="n">
        <f aca="false">M31*IF('Cost Margin'!$I17="",0,'Cost Margin'!$I17)*(1+'Cost Margin'!$N17)</f>
        <v>0</v>
      </c>
      <c r="N75" s="7" t="n">
        <f aca="false">N31*IF('Cost Margin'!$I17="",0,'Cost Margin'!$I17)*(1+'Cost Margin'!$N17)</f>
        <v>0</v>
      </c>
      <c r="O75" s="7" t="n">
        <f aca="false">O31*IF('Cost Margin'!$I17="",0,'Cost Margin'!$I17)*(1+'Cost Margin'!$N17)</f>
        <v>0</v>
      </c>
      <c r="P75" s="7" t="n">
        <f aca="false">P31*IF('Cost Margin'!$I17="",0,'Cost Margin'!$I17)*(1+'Cost Margin'!$N17)</f>
        <v>0</v>
      </c>
      <c r="Q75" s="7" t="n">
        <f aca="false">Q31*IF('Cost Margin'!$I17="",0,'Cost Margin'!$I17)*(1+'Cost Margin'!$N17)</f>
        <v>0</v>
      </c>
      <c r="R75" s="7" t="n">
        <f aca="false">R31*IF('Cost Margin'!$I17="",0,'Cost Margin'!$I17)*(1+'Cost Margin'!$N17)</f>
        <v>0</v>
      </c>
      <c r="S75" s="7" t="n">
        <f aca="false">S31*IF('Cost Margin'!$I17="",0,'Cost Margin'!$I17)*(1+'Cost Margin'!$N17)</f>
        <v>0</v>
      </c>
      <c r="T75" s="7" t="n">
        <f aca="false">T31*IF('Cost Margin'!$I17="",0,'Cost Margin'!$I17)*(1+'Cost Margin'!$N17)</f>
        <v>0</v>
      </c>
      <c r="U75" s="7" t="n">
        <f aca="false">U31*IF('Cost Margin'!$I17="",0,'Cost Margin'!$I17)*(1+'Cost Margin'!$N17)</f>
        <v>0</v>
      </c>
      <c r="V75" s="7" t="n">
        <f aca="false">V31*IF('Cost Margin'!$I17="",0,'Cost Margin'!$I17)*(1+'Cost Margin'!$N17)</f>
        <v>0</v>
      </c>
      <c r="W75" s="7" t="n">
        <f aca="false">W31*IF('Cost Margin'!$I17="",0,'Cost Margin'!$I17)*(1+'Cost Margin'!$N17)</f>
        <v>0</v>
      </c>
      <c r="X75" s="7" t="n">
        <f aca="false">X31*IF('Cost Margin'!$I17="",0,'Cost Margin'!$I17)*(1+'Cost Margin'!$N17)</f>
        <v>0</v>
      </c>
      <c r="Y75" s="7" t="n">
        <f aca="false">Y31*IF('Cost Margin'!$I17="",0,'Cost Margin'!$I17)*(1+'Cost Margin'!$N17)</f>
        <v>0</v>
      </c>
      <c r="Z75" s="7" t="n">
        <f aca="false">Z31*IF('Cost Margin'!$I17="",0,'Cost Margin'!$I17)*(1+'Cost Margin'!$N17)</f>
        <v>0</v>
      </c>
      <c r="AB75" s="34" t="str">
        <f aca="false">IF('Cost Margin'!A17="","",IF('Cost Margin'!E17="","(unassigned)",'Cost Margin'!E17))</f>
        <v/>
      </c>
    </row>
    <row r="76" customFormat="false" ht="15" hidden="false" customHeight="false" outlineLevel="0" collapsed="false">
      <c r="A76" s="0" t="n">
        <v>2</v>
      </c>
      <c r="B76" s="34" t="str">
        <f aca="false">IF('Cost Margin'!A18="","",'Cost Margin'!A18&amp;IF('Cost Margin'!E18="",""," · "&amp;'Cost Margin'!E18))</f>
        <v/>
      </c>
      <c r="C76" s="7" t="n">
        <f aca="false">C32*IF('Cost Margin'!$I18="",0,'Cost Margin'!$I18)*(1+'Cost Margin'!$N18)</f>
        <v>0</v>
      </c>
      <c r="D76" s="7" t="n">
        <f aca="false">D32*IF('Cost Margin'!$I18="",0,'Cost Margin'!$I18)*(1+'Cost Margin'!$N18)</f>
        <v>0</v>
      </c>
      <c r="E76" s="7" t="n">
        <f aca="false">E32*IF('Cost Margin'!$I18="",0,'Cost Margin'!$I18)*(1+'Cost Margin'!$N18)</f>
        <v>0</v>
      </c>
      <c r="F76" s="7" t="n">
        <f aca="false">F32*IF('Cost Margin'!$I18="",0,'Cost Margin'!$I18)*(1+'Cost Margin'!$N18)</f>
        <v>0</v>
      </c>
      <c r="G76" s="7" t="n">
        <f aca="false">G32*IF('Cost Margin'!$I18="",0,'Cost Margin'!$I18)*(1+'Cost Margin'!$N18)</f>
        <v>0</v>
      </c>
      <c r="H76" s="7" t="n">
        <f aca="false">H32*IF('Cost Margin'!$I18="",0,'Cost Margin'!$I18)*(1+'Cost Margin'!$N18)</f>
        <v>0</v>
      </c>
      <c r="I76" s="7" t="n">
        <f aca="false">I32*IF('Cost Margin'!$I18="",0,'Cost Margin'!$I18)*(1+'Cost Margin'!$N18)</f>
        <v>0</v>
      </c>
      <c r="J76" s="7" t="n">
        <f aca="false">J32*IF('Cost Margin'!$I18="",0,'Cost Margin'!$I18)*(1+'Cost Margin'!$N18)</f>
        <v>0</v>
      </c>
      <c r="K76" s="7" t="n">
        <f aca="false">K32*IF('Cost Margin'!$I18="",0,'Cost Margin'!$I18)*(1+'Cost Margin'!$N18)</f>
        <v>0</v>
      </c>
      <c r="L76" s="7" t="n">
        <f aca="false">L32*IF('Cost Margin'!$I18="",0,'Cost Margin'!$I18)*(1+'Cost Margin'!$N18)</f>
        <v>0</v>
      </c>
      <c r="M76" s="7" t="n">
        <f aca="false">M32*IF('Cost Margin'!$I18="",0,'Cost Margin'!$I18)*(1+'Cost Margin'!$N18)</f>
        <v>0</v>
      </c>
      <c r="N76" s="7" t="n">
        <f aca="false">N32*IF('Cost Margin'!$I18="",0,'Cost Margin'!$I18)*(1+'Cost Margin'!$N18)</f>
        <v>0</v>
      </c>
      <c r="O76" s="7" t="n">
        <f aca="false">O32*IF('Cost Margin'!$I18="",0,'Cost Margin'!$I18)*(1+'Cost Margin'!$N18)</f>
        <v>0</v>
      </c>
      <c r="P76" s="7" t="n">
        <f aca="false">P32*IF('Cost Margin'!$I18="",0,'Cost Margin'!$I18)*(1+'Cost Margin'!$N18)</f>
        <v>0</v>
      </c>
      <c r="Q76" s="7" t="n">
        <f aca="false">Q32*IF('Cost Margin'!$I18="",0,'Cost Margin'!$I18)*(1+'Cost Margin'!$N18)</f>
        <v>0</v>
      </c>
      <c r="R76" s="7" t="n">
        <f aca="false">R32*IF('Cost Margin'!$I18="",0,'Cost Margin'!$I18)*(1+'Cost Margin'!$N18)</f>
        <v>0</v>
      </c>
      <c r="S76" s="7" t="n">
        <f aca="false">S32*IF('Cost Margin'!$I18="",0,'Cost Margin'!$I18)*(1+'Cost Margin'!$N18)</f>
        <v>0</v>
      </c>
      <c r="T76" s="7" t="n">
        <f aca="false">T32*IF('Cost Margin'!$I18="",0,'Cost Margin'!$I18)*(1+'Cost Margin'!$N18)</f>
        <v>0</v>
      </c>
      <c r="U76" s="7" t="n">
        <f aca="false">U32*IF('Cost Margin'!$I18="",0,'Cost Margin'!$I18)*(1+'Cost Margin'!$N18)</f>
        <v>0</v>
      </c>
      <c r="V76" s="7" t="n">
        <f aca="false">V32*IF('Cost Margin'!$I18="",0,'Cost Margin'!$I18)*(1+'Cost Margin'!$N18)</f>
        <v>0</v>
      </c>
      <c r="W76" s="7" t="n">
        <f aca="false">W32*IF('Cost Margin'!$I18="",0,'Cost Margin'!$I18)*(1+'Cost Margin'!$N18)</f>
        <v>0</v>
      </c>
      <c r="X76" s="7" t="n">
        <f aca="false">X32*IF('Cost Margin'!$I18="",0,'Cost Margin'!$I18)*(1+'Cost Margin'!$N18)</f>
        <v>0</v>
      </c>
      <c r="Y76" s="7" t="n">
        <f aca="false">Y32*IF('Cost Margin'!$I18="",0,'Cost Margin'!$I18)*(1+'Cost Margin'!$N18)</f>
        <v>0</v>
      </c>
      <c r="Z76" s="7" t="n">
        <f aca="false">Z32*IF('Cost Margin'!$I18="",0,'Cost Margin'!$I18)*(1+'Cost Margin'!$N18)</f>
        <v>0</v>
      </c>
      <c r="AB76" s="34" t="str">
        <f aca="false">IF('Cost Margin'!A18="","",IF('Cost Margin'!E18="","(unassigned)",'Cost Margin'!E18))</f>
        <v/>
      </c>
    </row>
    <row r="77" customFormat="false" ht="15" hidden="false" customHeight="false" outlineLevel="0" collapsed="false">
      <c r="A77" s="0" t="n">
        <v>3</v>
      </c>
      <c r="B77" s="34" t="str">
        <f aca="false">IF('Cost Margin'!A19="","",'Cost Margin'!A19&amp;IF('Cost Margin'!E19="",""," · "&amp;'Cost Margin'!E19))</f>
        <v/>
      </c>
      <c r="C77" s="7" t="n">
        <f aca="false">C33*IF('Cost Margin'!$I19="",0,'Cost Margin'!$I19)*(1+'Cost Margin'!$N19)</f>
        <v>0</v>
      </c>
      <c r="D77" s="7" t="n">
        <f aca="false">D33*IF('Cost Margin'!$I19="",0,'Cost Margin'!$I19)*(1+'Cost Margin'!$N19)</f>
        <v>0</v>
      </c>
      <c r="E77" s="7" t="n">
        <f aca="false">E33*IF('Cost Margin'!$I19="",0,'Cost Margin'!$I19)*(1+'Cost Margin'!$N19)</f>
        <v>0</v>
      </c>
      <c r="F77" s="7" t="n">
        <f aca="false">F33*IF('Cost Margin'!$I19="",0,'Cost Margin'!$I19)*(1+'Cost Margin'!$N19)</f>
        <v>0</v>
      </c>
      <c r="G77" s="7" t="n">
        <f aca="false">G33*IF('Cost Margin'!$I19="",0,'Cost Margin'!$I19)*(1+'Cost Margin'!$N19)</f>
        <v>0</v>
      </c>
      <c r="H77" s="7" t="n">
        <f aca="false">H33*IF('Cost Margin'!$I19="",0,'Cost Margin'!$I19)*(1+'Cost Margin'!$N19)</f>
        <v>0</v>
      </c>
      <c r="I77" s="7" t="n">
        <f aca="false">I33*IF('Cost Margin'!$I19="",0,'Cost Margin'!$I19)*(1+'Cost Margin'!$N19)</f>
        <v>0</v>
      </c>
      <c r="J77" s="7" t="n">
        <f aca="false">J33*IF('Cost Margin'!$I19="",0,'Cost Margin'!$I19)*(1+'Cost Margin'!$N19)</f>
        <v>0</v>
      </c>
      <c r="K77" s="7" t="n">
        <f aca="false">K33*IF('Cost Margin'!$I19="",0,'Cost Margin'!$I19)*(1+'Cost Margin'!$N19)</f>
        <v>0</v>
      </c>
      <c r="L77" s="7" t="n">
        <f aca="false">L33*IF('Cost Margin'!$I19="",0,'Cost Margin'!$I19)*(1+'Cost Margin'!$N19)</f>
        <v>0</v>
      </c>
      <c r="M77" s="7" t="n">
        <f aca="false">M33*IF('Cost Margin'!$I19="",0,'Cost Margin'!$I19)*(1+'Cost Margin'!$N19)</f>
        <v>0</v>
      </c>
      <c r="N77" s="7" t="n">
        <f aca="false">N33*IF('Cost Margin'!$I19="",0,'Cost Margin'!$I19)*(1+'Cost Margin'!$N19)</f>
        <v>0</v>
      </c>
      <c r="O77" s="7" t="n">
        <f aca="false">O33*IF('Cost Margin'!$I19="",0,'Cost Margin'!$I19)*(1+'Cost Margin'!$N19)</f>
        <v>0</v>
      </c>
      <c r="P77" s="7" t="n">
        <f aca="false">P33*IF('Cost Margin'!$I19="",0,'Cost Margin'!$I19)*(1+'Cost Margin'!$N19)</f>
        <v>0</v>
      </c>
      <c r="Q77" s="7" t="n">
        <f aca="false">Q33*IF('Cost Margin'!$I19="",0,'Cost Margin'!$I19)*(1+'Cost Margin'!$N19)</f>
        <v>0</v>
      </c>
      <c r="R77" s="7" t="n">
        <f aca="false">R33*IF('Cost Margin'!$I19="",0,'Cost Margin'!$I19)*(1+'Cost Margin'!$N19)</f>
        <v>0</v>
      </c>
      <c r="S77" s="7" t="n">
        <f aca="false">S33*IF('Cost Margin'!$I19="",0,'Cost Margin'!$I19)*(1+'Cost Margin'!$N19)</f>
        <v>0</v>
      </c>
      <c r="T77" s="7" t="n">
        <f aca="false">T33*IF('Cost Margin'!$I19="",0,'Cost Margin'!$I19)*(1+'Cost Margin'!$N19)</f>
        <v>0</v>
      </c>
      <c r="U77" s="7" t="n">
        <f aca="false">U33*IF('Cost Margin'!$I19="",0,'Cost Margin'!$I19)*(1+'Cost Margin'!$N19)</f>
        <v>0</v>
      </c>
      <c r="V77" s="7" t="n">
        <f aca="false">V33*IF('Cost Margin'!$I19="",0,'Cost Margin'!$I19)*(1+'Cost Margin'!$N19)</f>
        <v>0</v>
      </c>
      <c r="W77" s="7" t="n">
        <f aca="false">W33*IF('Cost Margin'!$I19="",0,'Cost Margin'!$I19)*(1+'Cost Margin'!$N19)</f>
        <v>0</v>
      </c>
      <c r="X77" s="7" t="n">
        <f aca="false">X33*IF('Cost Margin'!$I19="",0,'Cost Margin'!$I19)*(1+'Cost Margin'!$N19)</f>
        <v>0</v>
      </c>
      <c r="Y77" s="7" t="n">
        <f aca="false">Y33*IF('Cost Margin'!$I19="",0,'Cost Margin'!$I19)*(1+'Cost Margin'!$N19)</f>
        <v>0</v>
      </c>
      <c r="Z77" s="7" t="n">
        <f aca="false">Z33*IF('Cost Margin'!$I19="",0,'Cost Margin'!$I19)*(1+'Cost Margin'!$N19)</f>
        <v>0</v>
      </c>
      <c r="AB77" s="34" t="str">
        <f aca="false">IF('Cost Margin'!A19="","",IF('Cost Margin'!E19="","(unassigned)",'Cost Margin'!E19))</f>
        <v/>
      </c>
    </row>
    <row r="78" customFormat="false" ht="15" hidden="false" customHeight="false" outlineLevel="0" collapsed="false">
      <c r="A78" s="0" t="n">
        <v>4</v>
      </c>
      <c r="B78" s="34" t="str">
        <f aca="false">IF('Cost Margin'!A20="","",'Cost Margin'!A20&amp;IF('Cost Margin'!E20="",""," · "&amp;'Cost Margin'!E20))</f>
        <v/>
      </c>
      <c r="C78" s="7" t="n">
        <f aca="false">C34*IF('Cost Margin'!$I20="",0,'Cost Margin'!$I20)*(1+'Cost Margin'!$N20)</f>
        <v>0</v>
      </c>
      <c r="D78" s="7" t="n">
        <f aca="false">D34*IF('Cost Margin'!$I20="",0,'Cost Margin'!$I20)*(1+'Cost Margin'!$N20)</f>
        <v>0</v>
      </c>
      <c r="E78" s="7" t="n">
        <f aca="false">E34*IF('Cost Margin'!$I20="",0,'Cost Margin'!$I20)*(1+'Cost Margin'!$N20)</f>
        <v>0</v>
      </c>
      <c r="F78" s="7" t="n">
        <f aca="false">F34*IF('Cost Margin'!$I20="",0,'Cost Margin'!$I20)*(1+'Cost Margin'!$N20)</f>
        <v>0</v>
      </c>
      <c r="G78" s="7" t="n">
        <f aca="false">G34*IF('Cost Margin'!$I20="",0,'Cost Margin'!$I20)*(1+'Cost Margin'!$N20)</f>
        <v>0</v>
      </c>
      <c r="H78" s="7" t="n">
        <f aca="false">H34*IF('Cost Margin'!$I20="",0,'Cost Margin'!$I20)*(1+'Cost Margin'!$N20)</f>
        <v>0</v>
      </c>
      <c r="I78" s="7" t="n">
        <f aca="false">I34*IF('Cost Margin'!$I20="",0,'Cost Margin'!$I20)*(1+'Cost Margin'!$N20)</f>
        <v>0</v>
      </c>
      <c r="J78" s="7" t="n">
        <f aca="false">J34*IF('Cost Margin'!$I20="",0,'Cost Margin'!$I20)*(1+'Cost Margin'!$N20)</f>
        <v>0</v>
      </c>
      <c r="K78" s="7" t="n">
        <f aca="false">K34*IF('Cost Margin'!$I20="",0,'Cost Margin'!$I20)*(1+'Cost Margin'!$N20)</f>
        <v>0</v>
      </c>
      <c r="L78" s="7" t="n">
        <f aca="false">L34*IF('Cost Margin'!$I20="",0,'Cost Margin'!$I20)*(1+'Cost Margin'!$N20)</f>
        <v>0</v>
      </c>
      <c r="M78" s="7" t="n">
        <f aca="false">M34*IF('Cost Margin'!$I20="",0,'Cost Margin'!$I20)*(1+'Cost Margin'!$N20)</f>
        <v>0</v>
      </c>
      <c r="N78" s="7" t="n">
        <f aca="false">N34*IF('Cost Margin'!$I20="",0,'Cost Margin'!$I20)*(1+'Cost Margin'!$N20)</f>
        <v>0</v>
      </c>
      <c r="O78" s="7" t="n">
        <f aca="false">O34*IF('Cost Margin'!$I20="",0,'Cost Margin'!$I20)*(1+'Cost Margin'!$N20)</f>
        <v>0</v>
      </c>
      <c r="P78" s="7" t="n">
        <f aca="false">P34*IF('Cost Margin'!$I20="",0,'Cost Margin'!$I20)*(1+'Cost Margin'!$N20)</f>
        <v>0</v>
      </c>
      <c r="Q78" s="7" t="n">
        <f aca="false">Q34*IF('Cost Margin'!$I20="",0,'Cost Margin'!$I20)*(1+'Cost Margin'!$N20)</f>
        <v>0</v>
      </c>
      <c r="R78" s="7" t="n">
        <f aca="false">R34*IF('Cost Margin'!$I20="",0,'Cost Margin'!$I20)*(1+'Cost Margin'!$N20)</f>
        <v>0</v>
      </c>
      <c r="S78" s="7" t="n">
        <f aca="false">S34*IF('Cost Margin'!$I20="",0,'Cost Margin'!$I20)*(1+'Cost Margin'!$N20)</f>
        <v>0</v>
      </c>
      <c r="T78" s="7" t="n">
        <f aca="false">T34*IF('Cost Margin'!$I20="",0,'Cost Margin'!$I20)*(1+'Cost Margin'!$N20)</f>
        <v>0</v>
      </c>
      <c r="U78" s="7" t="n">
        <f aca="false">U34*IF('Cost Margin'!$I20="",0,'Cost Margin'!$I20)*(1+'Cost Margin'!$N20)</f>
        <v>0</v>
      </c>
      <c r="V78" s="7" t="n">
        <f aca="false">V34*IF('Cost Margin'!$I20="",0,'Cost Margin'!$I20)*(1+'Cost Margin'!$N20)</f>
        <v>0</v>
      </c>
      <c r="W78" s="7" t="n">
        <f aca="false">W34*IF('Cost Margin'!$I20="",0,'Cost Margin'!$I20)*(1+'Cost Margin'!$N20)</f>
        <v>0</v>
      </c>
      <c r="X78" s="7" t="n">
        <f aca="false">X34*IF('Cost Margin'!$I20="",0,'Cost Margin'!$I20)*(1+'Cost Margin'!$N20)</f>
        <v>0</v>
      </c>
      <c r="Y78" s="7" t="n">
        <f aca="false">Y34*IF('Cost Margin'!$I20="",0,'Cost Margin'!$I20)*(1+'Cost Margin'!$N20)</f>
        <v>0</v>
      </c>
      <c r="Z78" s="7" t="n">
        <f aca="false">Z34*IF('Cost Margin'!$I20="",0,'Cost Margin'!$I20)*(1+'Cost Margin'!$N20)</f>
        <v>0</v>
      </c>
      <c r="AB78" s="34" t="str">
        <f aca="false">IF('Cost Margin'!A20="","",IF('Cost Margin'!E20="","(unassigned)",'Cost Margin'!E20))</f>
        <v/>
      </c>
    </row>
    <row r="79" customFormat="false" ht="15" hidden="false" customHeight="false" outlineLevel="0" collapsed="false">
      <c r="A79" s="0" t="n">
        <v>5</v>
      </c>
      <c r="B79" s="34" t="str">
        <f aca="false">IF('Cost Margin'!A21="","",'Cost Margin'!A21&amp;IF('Cost Margin'!E21="",""," · "&amp;'Cost Margin'!E21))</f>
        <v/>
      </c>
      <c r="C79" s="7" t="n">
        <f aca="false">C35*IF('Cost Margin'!$I21="",0,'Cost Margin'!$I21)*(1+'Cost Margin'!$N21)</f>
        <v>0</v>
      </c>
      <c r="D79" s="7" t="n">
        <f aca="false">D35*IF('Cost Margin'!$I21="",0,'Cost Margin'!$I21)*(1+'Cost Margin'!$N21)</f>
        <v>0</v>
      </c>
      <c r="E79" s="7" t="n">
        <f aca="false">E35*IF('Cost Margin'!$I21="",0,'Cost Margin'!$I21)*(1+'Cost Margin'!$N21)</f>
        <v>0</v>
      </c>
      <c r="F79" s="7" t="n">
        <f aca="false">F35*IF('Cost Margin'!$I21="",0,'Cost Margin'!$I21)*(1+'Cost Margin'!$N21)</f>
        <v>0</v>
      </c>
      <c r="G79" s="7" t="n">
        <f aca="false">G35*IF('Cost Margin'!$I21="",0,'Cost Margin'!$I21)*(1+'Cost Margin'!$N21)</f>
        <v>0</v>
      </c>
      <c r="H79" s="7" t="n">
        <f aca="false">H35*IF('Cost Margin'!$I21="",0,'Cost Margin'!$I21)*(1+'Cost Margin'!$N21)</f>
        <v>0</v>
      </c>
      <c r="I79" s="7" t="n">
        <f aca="false">I35*IF('Cost Margin'!$I21="",0,'Cost Margin'!$I21)*(1+'Cost Margin'!$N21)</f>
        <v>0</v>
      </c>
      <c r="J79" s="7" t="n">
        <f aca="false">J35*IF('Cost Margin'!$I21="",0,'Cost Margin'!$I21)*(1+'Cost Margin'!$N21)</f>
        <v>0</v>
      </c>
      <c r="K79" s="7" t="n">
        <f aca="false">K35*IF('Cost Margin'!$I21="",0,'Cost Margin'!$I21)*(1+'Cost Margin'!$N21)</f>
        <v>0</v>
      </c>
      <c r="L79" s="7" t="n">
        <f aca="false">L35*IF('Cost Margin'!$I21="",0,'Cost Margin'!$I21)*(1+'Cost Margin'!$N21)</f>
        <v>0</v>
      </c>
      <c r="M79" s="7" t="n">
        <f aca="false">M35*IF('Cost Margin'!$I21="",0,'Cost Margin'!$I21)*(1+'Cost Margin'!$N21)</f>
        <v>0</v>
      </c>
      <c r="N79" s="7" t="n">
        <f aca="false">N35*IF('Cost Margin'!$I21="",0,'Cost Margin'!$I21)*(1+'Cost Margin'!$N21)</f>
        <v>0</v>
      </c>
      <c r="O79" s="7" t="n">
        <f aca="false">O35*IF('Cost Margin'!$I21="",0,'Cost Margin'!$I21)*(1+'Cost Margin'!$N21)</f>
        <v>0</v>
      </c>
      <c r="P79" s="7" t="n">
        <f aca="false">P35*IF('Cost Margin'!$I21="",0,'Cost Margin'!$I21)*(1+'Cost Margin'!$N21)</f>
        <v>0</v>
      </c>
      <c r="Q79" s="7" t="n">
        <f aca="false">Q35*IF('Cost Margin'!$I21="",0,'Cost Margin'!$I21)*(1+'Cost Margin'!$N21)</f>
        <v>0</v>
      </c>
      <c r="R79" s="7" t="n">
        <f aca="false">R35*IF('Cost Margin'!$I21="",0,'Cost Margin'!$I21)*(1+'Cost Margin'!$N21)</f>
        <v>0</v>
      </c>
      <c r="S79" s="7" t="n">
        <f aca="false">S35*IF('Cost Margin'!$I21="",0,'Cost Margin'!$I21)*(1+'Cost Margin'!$N21)</f>
        <v>0</v>
      </c>
      <c r="T79" s="7" t="n">
        <f aca="false">T35*IF('Cost Margin'!$I21="",0,'Cost Margin'!$I21)*(1+'Cost Margin'!$N21)</f>
        <v>0</v>
      </c>
      <c r="U79" s="7" t="n">
        <f aca="false">U35*IF('Cost Margin'!$I21="",0,'Cost Margin'!$I21)*(1+'Cost Margin'!$N21)</f>
        <v>0</v>
      </c>
      <c r="V79" s="7" t="n">
        <f aca="false">V35*IF('Cost Margin'!$I21="",0,'Cost Margin'!$I21)*(1+'Cost Margin'!$N21)</f>
        <v>0</v>
      </c>
      <c r="W79" s="7" t="n">
        <f aca="false">W35*IF('Cost Margin'!$I21="",0,'Cost Margin'!$I21)*(1+'Cost Margin'!$N21)</f>
        <v>0</v>
      </c>
      <c r="X79" s="7" t="n">
        <f aca="false">X35*IF('Cost Margin'!$I21="",0,'Cost Margin'!$I21)*(1+'Cost Margin'!$N21)</f>
        <v>0</v>
      </c>
      <c r="Y79" s="7" t="n">
        <f aca="false">Y35*IF('Cost Margin'!$I21="",0,'Cost Margin'!$I21)*(1+'Cost Margin'!$N21)</f>
        <v>0</v>
      </c>
      <c r="Z79" s="7" t="n">
        <f aca="false">Z35*IF('Cost Margin'!$I21="",0,'Cost Margin'!$I21)*(1+'Cost Margin'!$N21)</f>
        <v>0</v>
      </c>
      <c r="AB79" s="34" t="str">
        <f aca="false">IF('Cost Margin'!A21="","",IF('Cost Margin'!E21="","(unassigned)",'Cost Margin'!E21))</f>
        <v/>
      </c>
    </row>
    <row r="80" customFormat="false" ht="15" hidden="false" customHeight="false" outlineLevel="0" collapsed="false">
      <c r="A80" s="0" t="n">
        <v>6</v>
      </c>
      <c r="B80" s="34" t="str">
        <f aca="false">IF('Cost Margin'!A22="","",'Cost Margin'!A22&amp;IF('Cost Margin'!E22="",""," · "&amp;'Cost Margin'!E22))</f>
        <v/>
      </c>
      <c r="C80" s="7" t="n">
        <f aca="false">C36*IF('Cost Margin'!$I22="",0,'Cost Margin'!$I22)*(1+'Cost Margin'!$N22)</f>
        <v>0</v>
      </c>
      <c r="D80" s="7" t="n">
        <f aca="false">D36*IF('Cost Margin'!$I22="",0,'Cost Margin'!$I22)*(1+'Cost Margin'!$N22)</f>
        <v>0</v>
      </c>
      <c r="E80" s="7" t="n">
        <f aca="false">E36*IF('Cost Margin'!$I22="",0,'Cost Margin'!$I22)*(1+'Cost Margin'!$N22)</f>
        <v>0</v>
      </c>
      <c r="F80" s="7" t="n">
        <f aca="false">F36*IF('Cost Margin'!$I22="",0,'Cost Margin'!$I22)*(1+'Cost Margin'!$N22)</f>
        <v>0</v>
      </c>
      <c r="G80" s="7" t="n">
        <f aca="false">G36*IF('Cost Margin'!$I22="",0,'Cost Margin'!$I22)*(1+'Cost Margin'!$N22)</f>
        <v>0</v>
      </c>
      <c r="H80" s="7" t="n">
        <f aca="false">H36*IF('Cost Margin'!$I22="",0,'Cost Margin'!$I22)*(1+'Cost Margin'!$N22)</f>
        <v>0</v>
      </c>
      <c r="I80" s="7" t="n">
        <f aca="false">I36*IF('Cost Margin'!$I22="",0,'Cost Margin'!$I22)*(1+'Cost Margin'!$N22)</f>
        <v>0</v>
      </c>
      <c r="J80" s="7" t="n">
        <f aca="false">J36*IF('Cost Margin'!$I22="",0,'Cost Margin'!$I22)*(1+'Cost Margin'!$N22)</f>
        <v>0</v>
      </c>
      <c r="K80" s="7" t="n">
        <f aca="false">K36*IF('Cost Margin'!$I22="",0,'Cost Margin'!$I22)*(1+'Cost Margin'!$N22)</f>
        <v>0</v>
      </c>
      <c r="L80" s="7" t="n">
        <f aca="false">L36*IF('Cost Margin'!$I22="",0,'Cost Margin'!$I22)*(1+'Cost Margin'!$N22)</f>
        <v>0</v>
      </c>
      <c r="M80" s="7" t="n">
        <f aca="false">M36*IF('Cost Margin'!$I22="",0,'Cost Margin'!$I22)*(1+'Cost Margin'!$N22)</f>
        <v>0</v>
      </c>
      <c r="N80" s="7" t="n">
        <f aca="false">N36*IF('Cost Margin'!$I22="",0,'Cost Margin'!$I22)*(1+'Cost Margin'!$N22)</f>
        <v>0</v>
      </c>
      <c r="O80" s="7" t="n">
        <f aca="false">O36*IF('Cost Margin'!$I22="",0,'Cost Margin'!$I22)*(1+'Cost Margin'!$N22)</f>
        <v>0</v>
      </c>
      <c r="P80" s="7" t="n">
        <f aca="false">P36*IF('Cost Margin'!$I22="",0,'Cost Margin'!$I22)*(1+'Cost Margin'!$N22)</f>
        <v>0</v>
      </c>
      <c r="Q80" s="7" t="n">
        <f aca="false">Q36*IF('Cost Margin'!$I22="",0,'Cost Margin'!$I22)*(1+'Cost Margin'!$N22)</f>
        <v>0</v>
      </c>
      <c r="R80" s="7" t="n">
        <f aca="false">R36*IF('Cost Margin'!$I22="",0,'Cost Margin'!$I22)*(1+'Cost Margin'!$N22)</f>
        <v>0</v>
      </c>
      <c r="S80" s="7" t="n">
        <f aca="false">S36*IF('Cost Margin'!$I22="",0,'Cost Margin'!$I22)*(1+'Cost Margin'!$N22)</f>
        <v>0</v>
      </c>
      <c r="T80" s="7" t="n">
        <f aca="false">T36*IF('Cost Margin'!$I22="",0,'Cost Margin'!$I22)*(1+'Cost Margin'!$N22)</f>
        <v>0</v>
      </c>
      <c r="U80" s="7" t="n">
        <f aca="false">U36*IF('Cost Margin'!$I22="",0,'Cost Margin'!$I22)*(1+'Cost Margin'!$N22)</f>
        <v>0</v>
      </c>
      <c r="V80" s="7" t="n">
        <f aca="false">V36*IF('Cost Margin'!$I22="",0,'Cost Margin'!$I22)*(1+'Cost Margin'!$N22)</f>
        <v>0</v>
      </c>
      <c r="W80" s="7" t="n">
        <f aca="false">W36*IF('Cost Margin'!$I22="",0,'Cost Margin'!$I22)*(1+'Cost Margin'!$N22)</f>
        <v>0</v>
      </c>
      <c r="X80" s="7" t="n">
        <f aca="false">X36*IF('Cost Margin'!$I22="",0,'Cost Margin'!$I22)*(1+'Cost Margin'!$N22)</f>
        <v>0</v>
      </c>
      <c r="Y80" s="7" t="n">
        <f aca="false">Y36*IF('Cost Margin'!$I22="",0,'Cost Margin'!$I22)*(1+'Cost Margin'!$N22)</f>
        <v>0</v>
      </c>
      <c r="Z80" s="7" t="n">
        <f aca="false">Z36*IF('Cost Margin'!$I22="",0,'Cost Margin'!$I22)*(1+'Cost Margin'!$N22)</f>
        <v>0</v>
      </c>
      <c r="AB80" s="34" t="str">
        <f aca="false">IF('Cost Margin'!A22="","",IF('Cost Margin'!E22="","(unassigned)",'Cost Margin'!E22))</f>
        <v/>
      </c>
    </row>
    <row r="81" customFormat="false" ht="15" hidden="false" customHeight="false" outlineLevel="0" collapsed="false">
      <c r="A81" s="0" t="n">
        <v>7</v>
      </c>
      <c r="B81" s="34" t="str">
        <f aca="false">IF('Cost Margin'!A23="","",'Cost Margin'!A23&amp;IF('Cost Margin'!E23="",""," · "&amp;'Cost Margin'!E23))</f>
        <v/>
      </c>
      <c r="C81" s="7" t="n">
        <f aca="false">C37*IF('Cost Margin'!$I23="",0,'Cost Margin'!$I23)*(1+'Cost Margin'!$N23)</f>
        <v>0</v>
      </c>
      <c r="D81" s="7" t="n">
        <f aca="false">D37*IF('Cost Margin'!$I23="",0,'Cost Margin'!$I23)*(1+'Cost Margin'!$N23)</f>
        <v>0</v>
      </c>
      <c r="E81" s="7" t="n">
        <f aca="false">E37*IF('Cost Margin'!$I23="",0,'Cost Margin'!$I23)*(1+'Cost Margin'!$N23)</f>
        <v>0</v>
      </c>
      <c r="F81" s="7" t="n">
        <f aca="false">F37*IF('Cost Margin'!$I23="",0,'Cost Margin'!$I23)*(1+'Cost Margin'!$N23)</f>
        <v>0</v>
      </c>
      <c r="G81" s="7" t="n">
        <f aca="false">G37*IF('Cost Margin'!$I23="",0,'Cost Margin'!$I23)*(1+'Cost Margin'!$N23)</f>
        <v>0</v>
      </c>
      <c r="H81" s="7" t="n">
        <f aca="false">H37*IF('Cost Margin'!$I23="",0,'Cost Margin'!$I23)*(1+'Cost Margin'!$N23)</f>
        <v>0</v>
      </c>
      <c r="I81" s="7" t="n">
        <f aca="false">I37*IF('Cost Margin'!$I23="",0,'Cost Margin'!$I23)*(1+'Cost Margin'!$N23)</f>
        <v>0</v>
      </c>
      <c r="J81" s="7" t="n">
        <f aca="false">J37*IF('Cost Margin'!$I23="",0,'Cost Margin'!$I23)*(1+'Cost Margin'!$N23)</f>
        <v>0</v>
      </c>
      <c r="K81" s="7" t="n">
        <f aca="false">K37*IF('Cost Margin'!$I23="",0,'Cost Margin'!$I23)*(1+'Cost Margin'!$N23)</f>
        <v>0</v>
      </c>
      <c r="L81" s="7" t="n">
        <f aca="false">L37*IF('Cost Margin'!$I23="",0,'Cost Margin'!$I23)*(1+'Cost Margin'!$N23)</f>
        <v>0</v>
      </c>
      <c r="M81" s="7" t="n">
        <f aca="false">M37*IF('Cost Margin'!$I23="",0,'Cost Margin'!$I23)*(1+'Cost Margin'!$N23)</f>
        <v>0</v>
      </c>
      <c r="N81" s="7" t="n">
        <f aca="false">N37*IF('Cost Margin'!$I23="",0,'Cost Margin'!$I23)*(1+'Cost Margin'!$N23)</f>
        <v>0</v>
      </c>
      <c r="O81" s="7" t="n">
        <f aca="false">O37*IF('Cost Margin'!$I23="",0,'Cost Margin'!$I23)*(1+'Cost Margin'!$N23)</f>
        <v>0</v>
      </c>
      <c r="P81" s="7" t="n">
        <f aca="false">P37*IF('Cost Margin'!$I23="",0,'Cost Margin'!$I23)*(1+'Cost Margin'!$N23)</f>
        <v>0</v>
      </c>
      <c r="Q81" s="7" t="n">
        <f aca="false">Q37*IF('Cost Margin'!$I23="",0,'Cost Margin'!$I23)*(1+'Cost Margin'!$N23)</f>
        <v>0</v>
      </c>
      <c r="R81" s="7" t="n">
        <f aca="false">R37*IF('Cost Margin'!$I23="",0,'Cost Margin'!$I23)*(1+'Cost Margin'!$N23)</f>
        <v>0</v>
      </c>
      <c r="S81" s="7" t="n">
        <f aca="false">S37*IF('Cost Margin'!$I23="",0,'Cost Margin'!$I23)*(1+'Cost Margin'!$N23)</f>
        <v>0</v>
      </c>
      <c r="T81" s="7" t="n">
        <f aca="false">T37*IF('Cost Margin'!$I23="",0,'Cost Margin'!$I23)*(1+'Cost Margin'!$N23)</f>
        <v>0</v>
      </c>
      <c r="U81" s="7" t="n">
        <f aca="false">U37*IF('Cost Margin'!$I23="",0,'Cost Margin'!$I23)*(1+'Cost Margin'!$N23)</f>
        <v>0</v>
      </c>
      <c r="V81" s="7" t="n">
        <f aca="false">V37*IF('Cost Margin'!$I23="",0,'Cost Margin'!$I23)*(1+'Cost Margin'!$N23)</f>
        <v>0</v>
      </c>
      <c r="W81" s="7" t="n">
        <f aca="false">W37*IF('Cost Margin'!$I23="",0,'Cost Margin'!$I23)*(1+'Cost Margin'!$N23)</f>
        <v>0</v>
      </c>
      <c r="X81" s="7" t="n">
        <f aca="false">X37*IF('Cost Margin'!$I23="",0,'Cost Margin'!$I23)*(1+'Cost Margin'!$N23)</f>
        <v>0</v>
      </c>
      <c r="Y81" s="7" t="n">
        <f aca="false">Y37*IF('Cost Margin'!$I23="",0,'Cost Margin'!$I23)*(1+'Cost Margin'!$N23)</f>
        <v>0</v>
      </c>
      <c r="Z81" s="7" t="n">
        <f aca="false">Z37*IF('Cost Margin'!$I23="",0,'Cost Margin'!$I23)*(1+'Cost Margin'!$N23)</f>
        <v>0</v>
      </c>
      <c r="AB81" s="34" t="str">
        <f aca="false">IF('Cost Margin'!A23="","",IF('Cost Margin'!E23="","(unassigned)",'Cost Margin'!E23))</f>
        <v/>
      </c>
    </row>
    <row r="82" customFormat="false" ht="15" hidden="false" customHeight="false" outlineLevel="0" collapsed="false">
      <c r="A82" s="0" t="n">
        <v>8</v>
      </c>
      <c r="B82" s="34" t="str">
        <f aca="false">IF('Cost Margin'!A24="","",'Cost Margin'!A24&amp;IF('Cost Margin'!E24="",""," · "&amp;'Cost Margin'!E24))</f>
        <v/>
      </c>
      <c r="C82" s="7" t="n">
        <f aca="false">C38*IF('Cost Margin'!$I24="",0,'Cost Margin'!$I24)*(1+'Cost Margin'!$N24)</f>
        <v>0</v>
      </c>
      <c r="D82" s="7" t="n">
        <f aca="false">D38*IF('Cost Margin'!$I24="",0,'Cost Margin'!$I24)*(1+'Cost Margin'!$N24)</f>
        <v>0</v>
      </c>
      <c r="E82" s="7" t="n">
        <f aca="false">E38*IF('Cost Margin'!$I24="",0,'Cost Margin'!$I24)*(1+'Cost Margin'!$N24)</f>
        <v>0</v>
      </c>
      <c r="F82" s="7" t="n">
        <f aca="false">F38*IF('Cost Margin'!$I24="",0,'Cost Margin'!$I24)*(1+'Cost Margin'!$N24)</f>
        <v>0</v>
      </c>
      <c r="G82" s="7" t="n">
        <f aca="false">G38*IF('Cost Margin'!$I24="",0,'Cost Margin'!$I24)*(1+'Cost Margin'!$N24)</f>
        <v>0</v>
      </c>
      <c r="H82" s="7" t="n">
        <f aca="false">H38*IF('Cost Margin'!$I24="",0,'Cost Margin'!$I24)*(1+'Cost Margin'!$N24)</f>
        <v>0</v>
      </c>
      <c r="I82" s="7" t="n">
        <f aca="false">I38*IF('Cost Margin'!$I24="",0,'Cost Margin'!$I24)*(1+'Cost Margin'!$N24)</f>
        <v>0</v>
      </c>
      <c r="J82" s="7" t="n">
        <f aca="false">J38*IF('Cost Margin'!$I24="",0,'Cost Margin'!$I24)*(1+'Cost Margin'!$N24)</f>
        <v>0</v>
      </c>
      <c r="K82" s="7" t="n">
        <f aca="false">K38*IF('Cost Margin'!$I24="",0,'Cost Margin'!$I24)*(1+'Cost Margin'!$N24)</f>
        <v>0</v>
      </c>
      <c r="L82" s="7" t="n">
        <f aca="false">L38*IF('Cost Margin'!$I24="",0,'Cost Margin'!$I24)*(1+'Cost Margin'!$N24)</f>
        <v>0</v>
      </c>
      <c r="M82" s="7" t="n">
        <f aca="false">M38*IF('Cost Margin'!$I24="",0,'Cost Margin'!$I24)*(1+'Cost Margin'!$N24)</f>
        <v>0</v>
      </c>
      <c r="N82" s="7" t="n">
        <f aca="false">N38*IF('Cost Margin'!$I24="",0,'Cost Margin'!$I24)*(1+'Cost Margin'!$N24)</f>
        <v>0</v>
      </c>
      <c r="O82" s="7" t="n">
        <f aca="false">O38*IF('Cost Margin'!$I24="",0,'Cost Margin'!$I24)*(1+'Cost Margin'!$N24)</f>
        <v>0</v>
      </c>
      <c r="P82" s="7" t="n">
        <f aca="false">P38*IF('Cost Margin'!$I24="",0,'Cost Margin'!$I24)*(1+'Cost Margin'!$N24)</f>
        <v>0</v>
      </c>
      <c r="Q82" s="7" t="n">
        <f aca="false">Q38*IF('Cost Margin'!$I24="",0,'Cost Margin'!$I24)*(1+'Cost Margin'!$N24)</f>
        <v>0</v>
      </c>
      <c r="R82" s="7" t="n">
        <f aca="false">R38*IF('Cost Margin'!$I24="",0,'Cost Margin'!$I24)*(1+'Cost Margin'!$N24)</f>
        <v>0</v>
      </c>
      <c r="S82" s="7" t="n">
        <f aca="false">S38*IF('Cost Margin'!$I24="",0,'Cost Margin'!$I24)*(1+'Cost Margin'!$N24)</f>
        <v>0</v>
      </c>
      <c r="T82" s="7" t="n">
        <f aca="false">T38*IF('Cost Margin'!$I24="",0,'Cost Margin'!$I24)*(1+'Cost Margin'!$N24)</f>
        <v>0</v>
      </c>
      <c r="U82" s="7" t="n">
        <f aca="false">U38*IF('Cost Margin'!$I24="",0,'Cost Margin'!$I24)*(1+'Cost Margin'!$N24)</f>
        <v>0</v>
      </c>
      <c r="V82" s="7" t="n">
        <f aca="false">V38*IF('Cost Margin'!$I24="",0,'Cost Margin'!$I24)*(1+'Cost Margin'!$N24)</f>
        <v>0</v>
      </c>
      <c r="W82" s="7" t="n">
        <f aca="false">W38*IF('Cost Margin'!$I24="",0,'Cost Margin'!$I24)*(1+'Cost Margin'!$N24)</f>
        <v>0</v>
      </c>
      <c r="X82" s="7" t="n">
        <f aca="false">X38*IF('Cost Margin'!$I24="",0,'Cost Margin'!$I24)*(1+'Cost Margin'!$N24)</f>
        <v>0</v>
      </c>
      <c r="Y82" s="7" t="n">
        <f aca="false">Y38*IF('Cost Margin'!$I24="",0,'Cost Margin'!$I24)*(1+'Cost Margin'!$N24)</f>
        <v>0</v>
      </c>
      <c r="Z82" s="7" t="n">
        <f aca="false">Z38*IF('Cost Margin'!$I24="",0,'Cost Margin'!$I24)*(1+'Cost Margin'!$N24)</f>
        <v>0</v>
      </c>
      <c r="AB82" s="34" t="str">
        <f aca="false">IF('Cost Margin'!A24="","",IF('Cost Margin'!E24="","(unassigned)",'Cost Margin'!E24))</f>
        <v/>
      </c>
    </row>
    <row r="83" customFormat="false" ht="15" hidden="false" customHeight="false" outlineLevel="0" collapsed="false">
      <c r="A83" s="0" t="n">
        <v>9</v>
      </c>
      <c r="B83" s="34" t="str">
        <f aca="false">IF('Cost Margin'!A25="","",'Cost Margin'!A25&amp;IF('Cost Margin'!E25="",""," · "&amp;'Cost Margin'!E25))</f>
        <v/>
      </c>
      <c r="C83" s="7" t="n">
        <f aca="false">C39*IF('Cost Margin'!$I25="",0,'Cost Margin'!$I25)*(1+'Cost Margin'!$N25)</f>
        <v>0</v>
      </c>
      <c r="D83" s="7" t="n">
        <f aca="false">D39*IF('Cost Margin'!$I25="",0,'Cost Margin'!$I25)*(1+'Cost Margin'!$N25)</f>
        <v>0</v>
      </c>
      <c r="E83" s="7" t="n">
        <f aca="false">E39*IF('Cost Margin'!$I25="",0,'Cost Margin'!$I25)*(1+'Cost Margin'!$N25)</f>
        <v>0</v>
      </c>
      <c r="F83" s="7" t="n">
        <f aca="false">F39*IF('Cost Margin'!$I25="",0,'Cost Margin'!$I25)*(1+'Cost Margin'!$N25)</f>
        <v>0</v>
      </c>
      <c r="G83" s="7" t="n">
        <f aca="false">G39*IF('Cost Margin'!$I25="",0,'Cost Margin'!$I25)*(1+'Cost Margin'!$N25)</f>
        <v>0</v>
      </c>
      <c r="H83" s="7" t="n">
        <f aca="false">H39*IF('Cost Margin'!$I25="",0,'Cost Margin'!$I25)*(1+'Cost Margin'!$N25)</f>
        <v>0</v>
      </c>
      <c r="I83" s="7" t="n">
        <f aca="false">I39*IF('Cost Margin'!$I25="",0,'Cost Margin'!$I25)*(1+'Cost Margin'!$N25)</f>
        <v>0</v>
      </c>
      <c r="J83" s="7" t="n">
        <f aca="false">J39*IF('Cost Margin'!$I25="",0,'Cost Margin'!$I25)*(1+'Cost Margin'!$N25)</f>
        <v>0</v>
      </c>
      <c r="K83" s="7" t="n">
        <f aca="false">K39*IF('Cost Margin'!$I25="",0,'Cost Margin'!$I25)*(1+'Cost Margin'!$N25)</f>
        <v>0</v>
      </c>
      <c r="L83" s="7" t="n">
        <f aca="false">L39*IF('Cost Margin'!$I25="",0,'Cost Margin'!$I25)*(1+'Cost Margin'!$N25)</f>
        <v>0</v>
      </c>
      <c r="M83" s="7" t="n">
        <f aca="false">M39*IF('Cost Margin'!$I25="",0,'Cost Margin'!$I25)*(1+'Cost Margin'!$N25)</f>
        <v>0</v>
      </c>
      <c r="N83" s="7" t="n">
        <f aca="false">N39*IF('Cost Margin'!$I25="",0,'Cost Margin'!$I25)*(1+'Cost Margin'!$N25)</f>
        <v>0</v>
      </c>
      <c r="O83" s="7" t="n">
        <f aca="false">O39*IF('Cost Margin'!$I25="",0,'Cost Margin'!$I25)*(1+'Cost Margin'!$N25)</f>
        <v>0</v>
      </c>
      <c r="P83" s="7" t="n">
        <f aca="false">P39*IF('Cost Margin'!$I25="",0,'Cost Margin'!$I25)*(1+'Cost Margin'!$N25)</f>
        <v>0</v>
      </c>
      <c r="Q83" s="7" t="n">
        <f aca="false">Q39*IF('Cost Margin'!$I25="",0,'Cost Margin'!$I25)*(1+'Cost Margin'!$N25)</f>
        <v>0</v>
      </c>
      <c r="R83" s="7" t="n">
        <f aca="false">R39*IF('Cost Margin'!$I25="",0,'Cost Margin'!$I25)*(1+'Cost Margin'!$N25)</f>
        <v>0</v>
      </c>
      <c r="S83" s="7" t="n">
        <f aca="false">S39*IF('Cost Margin'!$I25="",0,'Cost Margin'!$I25)*(1+'Cost Margin'!$N25)</f>
        <v>0</v>
      </c>
      <c r="T83" s="7" t="n">
        <f aca="false">T39*IF('Cost Margin'!$I25="",0,'Cost Margin'!$I25)*(1+'Cost Margin'!$N25)</f>
        <v>0</v>
      </c>
      <c r="U83" s="7" t="n">
        <f aca="false">U39*IF('Cost Margin'!$I25="",0,'Cost Margin'!$I25)*(1+'Cost Margin'!$N25)</f>
        <v>0</v>
      </c>
      <c r="V83" s="7" t="n">
        <f aca="false">V39*IF('Cost Margin'!$I25="",0,'Cost Margin'!$I25)*(1+'Cost Margin'!$N25)</f>
        <v>0</v>
      </c>
      <c r="W83" s="7" t="n">
        <f aca="false">W39*IF('Cost Margin'!$I25="",0,'Cost Margin'!$I25)*(1+'Cost Margin'!$N25)</f>
        <v>0</v>
      </c>
      <c r="X83" s="7" t="n">
        <f aca="false">X39*IF('Cost Margin'!$I25="",0,'Cost Margin'!$I25)*(1+'Cost Margin'!$N25)</f>
        <v>0</v>
      </c>
      <c r="Y83" s="7" t="n">
        <f aca="false">Y39*IF('Cost Margin'!$I25="",0,'Cost Margin'!$I25)*(1+'Cost Margin'!$N25)</f>
        <v>0</v>
      </c>
      <c r="Z83" s="7" t="n">
        <f aca="false">Z39*IF('Cost Margin'!$I25="",0,'Cost Margin'!$I25)*(1+'Cost Margin'!$N25)</f>
        <v>0</v>
      </c>
      <c r="AB83" s="34" t="str">
        <f aca="false">IF('Cost Margin'!A25="","",IF('Cost Margin'!E25="","(unassigned)",'Cost Margin'!E25))</f>
        <v/>
      </c>
    </row>
    <row r="84" customFormat="false" ht="15" hidden="false" customHeight="false" outlineLevel="0" collapsed="false">
      <c r="A84" s="0" t="n">
        <v>10</v>
      </c>
      <c r="B84" s="34" t="str">
        <f aca="false">IF('Cost Margin'!A26="","",'Cost Margin'!A26&amp;IF('Cost Margin'!E26="",""," · "&amp;'Cost Margin'!E26))</f>
        <v/>
      </c>
      <c r="C84" s="7" t="n">
        <f aca="false">C40*IF('Cost Margin'!$I26="",0,'Cost Margin'!$I26)*(1+'Cost Margin'!$N26)</f>
        <v>0</v>
      </c>
      <c r="D84" s="7" t="n">
        <f aca="false">D40*IF('Cost Margin'!$I26="",0,'Cost Margin'!$I26)*(1+'Cost Margin'!$N26)</f>
        <v>0</v>
      </c>
      <c r="E84" s="7" t="n">
        <f aca="false">E40*IF('Cost Margin'!$I26="",0,'Cost Margin'!$I26)*(1+'Cost Margin'!$N26)</f>
        <v>0</v>
      </c>
      <c r="F84" s="7" t="n">
        <f aca="false">F40*IF('Cost Margin'!$I26="",0,'Cost Margin'!$I26)*(1+'Cost Margin'!$N26)</f>
        <v>0</v>
      </c>
      <c r="G84" s="7" t="n">
        <f aca="false">G40*IF('Cost Margin'!$I26="",0,'Cost Margin'!$I26)*(1+'Cost Margin'!$N26)</f>
        <v>0</v>
      </c>
      <c r="H84" s="7" t="n">
        <f aca="false">H40*IF('Cost Margin'!$I26="",0,'Cost Margin'!$I26)*(1+'Cost Margin'!$N26)</f>
        <v>0</v>
      </c>
      <c r="I84" s="7" t="n">
        <f aca="false">I40*IF('Cost Margin'!$I26="",0,'Cost Margin'!$I26)*(1+'Cost Margin'!$N26)</f>
        <v>0</v>
      </c>
      <c r="J84" s="7" t="n">
        <f aca="false">J40*IF('Cost Margin'!$I26="",0,'Cost Margin'!$I26)*(1+'Cost Margin'!$N26)</f>
        <v>0</v>
      </c>
      <c r="K84" s="7" t="n">
        <f aca="false">K40*IF('Cost Margin'!$I26="",0,'Cost Margin'!$I26)*(1+'Cost Margin'!$N26)</f>
        <v>0</v>
      </c>
      <c r="L84" s="7" t="n">
        <f aca="false">L40*IF('Cost Margin'!$I26="",0,'Cost Margin'!$I26)*(1+'Cost Margin'!$N26)</f>
        <v>0</v>
      </c>
      <c r="M84" s="7" t="n">
        <f aca="false">M40*IF('Cost Margin'!$I26="",0,'Cost Margin'!$I26)*(1+'Cost Margin'!$N26)</f>
        <v>0</v>
      </c>
      <c r="N84" s="7" t="n">
        <f aca="false">N40*IF('Cost Margin'!$I26="",0,'Cost Margin'!$I26)*(1+'Cost Margin'!$N26)</f>
        <v>0</v>
      </c>
      <c r="O84" s="7" t="n">
        <f aca="false">O40*IF('Cost Margin'!$I26="",0,'Cost Margin'!$I26)*(1+'Cost Margin'!$N26)</f>
        <v>0</v>
      </c>
      <c r="P84" s="7" t="n">
        <f aca="false">P40*IF('Cost Margin'!$I26="",0,'Cost Margin'!$I26)*(1+'Cost Margin'!$N26)</f>
        <v>0</v>
      </c>
      <c r="Q84" s="7" t="n">
        <f aca="false">Q40*IF('Cost Margin'!$I26="",0,'Cost Margin'!$I26)*(1+'Cost Margin'!$N26)</f>
        <v>0</v>
      </c>
      <c r="R84" s="7" t="n">
        <f aca="false">R40*IF('Cost Margin'!$I26="",0,'Cost Margin'!$I26)*(1+'Cost Margin'!$N26)</f>
        <v>0</v>
      </c>
      <c r="S84" s="7" t="n">
        <f aca="false">S40*IF('Cost Margin'!$I26="",0,'Cost Margin'!$I26)*(1+'Cost Margin'!$N26)</f>
        <v>0</v>
      </c>
      <c r="T84" s="7" t="n">
        <f aca="false">T40*IF('Cost Margin'!$I26="",0,'Cost Margin'!$I26)*(1+'Cost Margin'!$N26)</f>
        <v>0</v>
      </c>
      <c r="U84" s="7" t="n">
        <f aca="false">U40*IF('Cost Margin'!$I26="",0,'Cost Margin'!$I26)*(1+'Cost Margin'!$N26)</f>
        <v>0</v>
      </c>
      <c r="V84" s="7" t="n">
        <f aca="false">V40*IF('Cost Margin'!$I26="",0,'Cost Margin'!$I26)*(1+'Cost Margin'!$N26)</f>
        <v>0</v>
      </c>
      <c r="W84" s="7" t="n">
        <f aca="false">W40*IF('Cost Margin'!$I26="",0,'Cost Margin'!$I26)*(1+'Cost Margin'!$N26)</f>
        <v>0</v>
      </c>
      <c r="X84" s="7" t="n">
        <f aca="false">X40*IF('Cost Margin'!$I26="",0,'Cost Margin'!$I26)*(1+'Cost Margin'!$N26)</f>
        <v>0</v>
      </c>
      <c r="Y84" s="7" t="n">
        <f aca="false">Y40*IF('Cost Margin'!$I26="",0,'Cost Margin'!$I26)*(1+'Cost Margin'!$N26)</f>
        <v>0</v>
      </c>
      <c r="Z84" s="7" t="n">
        <f aca="false">Z40*IF('Cost Margin'!$I26="",0,'Cost Margin'!$I26)*(1+'Cost Margin'!$N26)</f>
        <v>0</v>
      </c>
      <c r="AB84" s="34" t="str">
        <f aca="false">IF('Cost Margin'!A26="","",IF('Cost Margin'!E26="","(unassigned)",'Cost Margin'!E26))</f>
        <v/>
      </c>
    </row>
    <row r="85" customFormat="false" ht="15" hidden="false" customHeight="false" outlineLevel="0" collapsed="false">
      <c r="A85" s="0" t="n">
        <v>11</v>
      </c>
      <c r="B85" s="34" t="str">
        <f aca="false">IF('Cost Margin'!A27="","",'Cost Margin'!A27&amp;IF('Cost Margin'!E27="",""," · "&amp;'Cost Margin'!E27))</f>
        <v/>
      </c>
      <c r="C85" s="7" t="n">
        <f aca="false">C41*IF('Cost Margin'!$I27="",0,'Cost Margin'!$I27)*(1+'Cost Margin'!$N27)</f>
        <v>0</v>
      </c>
      <c r="D85" s="7" t="n">
        <f aca="false">D41*IF('Cost Margin'!$I27="",0,'Cost Margin'!$I27)*(1+'Cost Margin'!$N27)</f>
        <v>0</v>
      </c>
      <c r="E85" s="7" t="n">
        <f aca="false">E41*IF('Cost Margin'!$I27="",0,'Cost Margin'!$I27)*(1+'Cost Margin'!$N27)</f>
        <v>0</v>
      </c>
      <c r="F85" s="7" t="n">
        <f aca="false">F41*IF('Cost Margin'!$I27="",0,'Cost Margin'!$I27)*(1+'Cost Margin'!$N27)</f>
        <v>0</v>
      </c>
      <c r="G85" s="7" t="n">
        <f aca="false">G41*IF('Cost Margin'!$I27="",0,'Cost Margin'!$I27)*(1+'Cost Margin'!$N27)</f>
        <v>0</v>
      </c>
      <c r="H85" s="7" t="n">
        <f aca="false">H41*IF('Cost Margin'!$I27="",0,'Cost Margin'!$I27)*(1+'Cost Margin'!$N27)</f>
        <v>0</v>
      </c>
      <c r="I85" s="7" t="n">
        <f aca="false">I41*IF('Cost Margin'!$I27="",0,'Cost Margin'!$I27)*(1+'Cost Margin'!$N27)</f>
        <v>0</v>
      </c>
      <c r="J85" s="7" t="n">
        <f aca="false">J41*IF('Cost Margin'!$I27="",0,'Cost Margin'!$I27)*(1+'Cost Margin'!$N27)</f>
        <v>0</v>
      </c>
      <c r="K85" s="7" t="n">
        <f aca="false">K41*IF('Cost Margin'!$I27="",0,'Cost Margin'!$I27)*(1+'Cost Margin'!$N27)</f>
        <v>0</v>
      </c>
      <c r="L85" s="7" t="n">
        <f aca="false">L41*IF('Cost Margin'!$I27="",0,'Cost Margin'!$I27)*(1+'Cost Margin'!$N27)</f>
        <v>0</v>
      </c>
      <c r="M85" s="7" t="n">
        <f aca="false">M41*IF('Cost Margin'!$I27="",0,'Cost Margin'!$I27)*(1+'Cost Margin'!$N27)</f>
        <v>0</v>
      </c>
      <c r="N85" s="7" t="n">
        <f aca="false">N41*IF('Cost Margin'!$I27="",0,'Cost Margin'!$I27)*(1+'Cost Margin'!$N27)</f>
        <v>0</v>
      </c>
      <c r="O85" s="7" t="n">
        <f aca="false">O41*IF('Cost Margin'!$I27="",0,'Cost Margin'!$I27)*(1+'Cost Margin'!$N27)</f>
        <v>0</v>
      </c>
      <c r="P85" s="7" t="n">
        <f aca="false">P41*IF('Cost Margin'!$I27="",0,'Cost Margin'!$I27)*(1+'Cost Margin'!$N27)</f>
        <v>0</v>
      </c>
      <c r="Q85" s="7" t="n">
        <f aca="false">Q41*IF('Cost Margin'!$I27="",0,'Cost Margin'!$I27)*(1+'Cost Margin'!$N27)</f>
        <v>0</v>
      </c>
      <c r="R85" s="7" t="n">
        <f aca="false">R41*IF('Cost Margin'!$I27="",0,'Cost Margin'!$I27)*(1+'Cost Margin'!$N27)</f>
        <v>0</v>
      </c>
      <c r="S85" s="7" t="n">
        <f aca="false">S41*IF('Cost Margin'!$I27="",0,'Cost Margin'!$I27)*(1+'Cost Margin'!$N27)</f>
        <v>0</v>
      </c>
      <c r="T85" s="7" t="n">
        <f aca="false">T41*IF('Cost Margin'!$I27="",0,'Cost Margin'!$I27)*(1+'Cost Margin'!$N27)</f>
        <v>0</v>
      </c>
      <c r="U85" s="7" t="n">
        <f aca="false">U41*IF('Cost Margin'!$I27="",0,'Cost Margin'!$I27)*(1+'Cost Margin'!$N27)</f>
        <v>0</v>
      </c>
      <c r="V85" s="7" t="n">
        <f aca="false">V41*IF('Cost Margin'!$I27="",0,'Cost Margin'!$I27)*(1+'Cost Margin'!$N27)</f>
        <v>0</v>
      </c>
      <c r="W85" s="7" t="n">
        <f aca="false">W41*IF('Cost Margin'!$I27="",0,'Cost Margin'!$I27)*(1+'Cost Margin'!$N27)</f>
        <v>0</v>
      </c>
      <c r="X85" s="7" t="n">
        <f aca="false">X41*IF('Cost Margin'!$I27="",0,'Cost Margin'!$I27)*(1+'Cost Margin'!$N27)</f>
        <v>0</v>
      </c>
      <c r="Y85" s="7" t="n">
        <f aca="false">Y41*IF('Cost Margin'!$I27="",0,'Cost Margin'!$I27)*(1+'Cost Margin'!$N27)</f>
        <v>0</v>
      </c>
      <c r="Z85" s="7" t="n">
        <f aca="false">Z41*IF('Cost Margin'!$I27="",0,'Cost Margin'!$I27)*(1+'Cost Margin'!$N27)</f>
        <v>0</v>
      </c>
      <c r="AB85" s="34" t="str">
        <f aca="false">IF('Cost Margin'!A27="","",IF('Cost Margin'!E27="","(unassigned)",'Cost Margin'!E27))</f>
        <v/>
      </c>
    </row>
    <row r="86" customFormat="false" ht="15" hidden="false" customHeight="false" outlineLevel="0" collapsed="false">
      <c r="A86" s="0" t="n">
        <v>12</v>
      </c>
      <c r="B86" s="34" t="str">
        <f aca="false">IF('Cost Margin'!A28="","",'Cost Margin'!A28&amp;IF('Cost Margin'!E28="",""," · "&amp;'Cost Margin'!E28))</f>
        <v/>
      </c>
      <c r="C86" s="7" t="n">
        <f aca="false">C42*IF('Cost Margin'!$I28="",0,'Cost Margin'!$I28)*(1+'Cost Margin'!$N28)</f>
        <v>0</v>
      </c>
      <c r="D86" s="7" t="n">
        <f aca="false">D42*IF('Cost Margin'!$I28="",0,'Cost Margin'!$I28)*(1+'Cost Margin'!$N28)</f>
        <v>0</v>
      </c>
      <c r="E86" s="7" t="n">
        <f aca="false">E42*IF('Cost Margin'!$I28="",0,'Cost Margin'!$I28)*(1+'Cost Margin'!$N28)</f>
        <v>0</v>
      </c>
      <c r="F86" s="7" t="n">
        <f aca="false">F42*IF('Cost Margin'!$I28="",0,'Cost Margin'!$I28)*(1+'Cost Margin'!$N28)</f>
        <v>0</v>
      </c>
      <c r="G86" s="7" t="n">
        <f aca="false">G42*IF('Cost Margin'!$I28="",0,'Cost Margin'!$I28)*(1+'Cost Margin'!$N28)</f>
        <v>0</v>
      </c>
      <c r="H86" s="7" t="n">
        <f aca="false">H42*IF('Cost Margin'!$I28="",0,'Cost Margin'!$I28)*(1+'Cost Margin'!$N28)</f>
        <v>0</v>
      </c>
      <c r="I86" s="7" t="n">
        <f aca="false">I42*IF('Cost Margin'!$I28="",0,'Cost Margin'!$I28)*(1+'Cost Margin'!$N28)</f>
        <v>0</v>
      </c>
      <c r="J86" s="7" t="n">
        <f aca="false">J42*IF('Cost Margin'!$I28="",0,'Cost Margin'!$I28)*(1+'Cost Margin'!$N28)</f>
        <v>0</v>
      </c>
      <c r="K86" s="7" t="n">
        <f aca="false">K42*IF('Cost Margin'!$I28="",0,'Cost Margin'!$I28)*(1+'Cost Margin'!$N28)</f>
        <v>0</v>
      </c>
      <c r="L86" s="7" t="n">
        <f aca="false">L42*IF('Cost Margin'!$I28="",0,'Cost Margin'!$I28)*(1+'Cost Margin'!$N28)</f>
        <v>0</v>
      </c>
      <c r="M86" s="7" t="n">
        <f aca="false">M42*IF('Cost Margin'!$I28="",0,'Cost Margin'!$I28)*(1+'Cost Margin'!$N28)</f>
        <v>0</v>
      </c>
      <c r="N86" s="7" t="n">
        <f aca="false">N42*IF('Cost Margin'!$I28="",0,'Cost Margin'!$I28)*(1+'Cost Margin'!$N28)</f>
        <v>0</v>
      </c>
      <c r="O86" s="7" t="n">
        <f aca="false">O42*IF('Cost Margin'!$I28="",0,'Cost Margin'!$I28)*(1+'Cost Margin'!$N28)</f>
        <v>0</v>
      </c>
      <c r="P86" s="7" t="n">
        <f aca="false">P42*IF('Cost Margin'!$I28="",0,'Cost Margin'!$I28)*(1+'Cost Margin'!$N28)</f>
        <v>0</v>
      </c>
      <c r="Q86" s="7" t="n">
        <f aca="false">Q42*IF('Cost Margin'!$I28="",0,'Cost Margin'!$I28)*(1+'Cost Margin'!$N28)</f>
        <v>0</v>
      </c>
      <c r="R86" s="7" t="n">
        <f aca="false">R42*IF('Cost Margin'!$I28="",0,'Cost Margin'!$I28)*(1+'Cost Margin'!$N28)</f>
        <v>0</v>
      </c>
      <c r="S86" s="7" t="n">
        <f aca="false">S42*IF('Cost Margin'!$I28="",0,'Cost Margin'!$I28)*(1+'Cost Margin'!$N28)</f>
        <v>0</v>
      </c>
      <c r="T86" s="7" t="n">
        <f aca="false">T42*IF('Cost Margin'!$I28="",0,'Cost Margin'!$I28)*(1+'Cost Margin'!$N28)</f>
        <v>0</v>
      </c>
      <c r="U86" s="7" t="n">
        <f aca="false">U42*IF('Cost Margin'!$I28="",0,'Cost Margin'!$I28)*(1+'Cost Margin'!$N28)</f>
        <v>0</v>
      </c>
      <c r="V86" s="7" t="n">
        <f aca="false">V42*IF('Cost Margin'!$I28="",0,'Cost Margin'!$I28)*(1+'Cost Margin'!$N28)</f>
        <v>0</v>
      </c>
      <c r="W86" s="7" t="n">
        <f aca="false">W42*IF('Cost Margin'!$I28="",0,'Cost Margin'!$I28)*(1+'Cost Margin'!$N28)</f>
        <v>0</v>
      </c>
      <c r="X86" s="7" t="n">
        <f aca="false">X42*IF('Cost Margin'!$I28="",0,'Cost Margin'!$I28)*(1+'Cost Margin'!$N28)</f>
        <v>0</v>
      </c>
      <c r="Y86" s="7" t="n">
        <f aca="false">Y42*IF('Cost Margin'!$I28="",0,'Cost Margin'!$I28)*(1+'Cost Margin'!$N28)</f>
        <v>0</v>
      </c>
      <c r="Z86" s="7" t="n">
        <f aca="false">Z42*IF('Cost Margin'!$I28="",0,'Cost Margin'!$I28)*(1+'Cost Margin'!$N28)</f>
        <v>0</v>
      </c>
      <c r="AB86" s="34" t="str">
        <f aca="false">IF('Cost Margin'!A28="","",IF('Cost Margin'!E28="","(unassigned)",'Cost Margin'!E28))</f>
        <v/>
      </c>
    </row>
    <row r="87" customFormat="false" ht="15" hidden="false" customHeight="false" outlineLevel="0" collapsed="false">
      <c r="A87" s="0" t="n">
        <v>13</v>
      </c>
      <c r="B87" s="34" t="str">
        <f aca="false">IF('Cost Margin'!A29="","",'Cost Margin'!A29&amp;IF('Cost Margin'!E29="",""," · "&amp;'Cost Margin'!E29))</f>
        <v/>
      </c>
      <c r="C87" s="7" t="n">
        <f aca="false">C43*IF('Cost Margin'!$I29="",0,'Cost Margin'!$I29)*(1+'Cost Margin'!$N29)</f>
        <v>0</v>
      </c>
      <c r="D87" s="7" t="n">
        <f aca="false">D43*IF('Cost Margin'!$I29="",0,'Cost Margin'!$I29)*(1+'Cost Margin'!$N29)</f>
        <v>0</v>
      </c>
      <c r="E87" s="7" t="n">
        <f aca="false">E43*IF('Cost Margin'!$I29="",0,'Cost Margin'!$I29)*(1+'Cost Margin'!$N29)</f>
        <v>0</v>
      </c>
      <c r="F87" s="7" t="n">
        <f aca="false">F43*IF('Cost Margin'!$I29="",0,'Cost Margin'!$I29)*(1+'Cost Margin'!$N29)</f>
        <v>0</v>
      </c>
      <c r="G87" s="7" t="n">
        <f aca="false">G43*IF('Cost Margin'!$I29="",0,'Cost Margin'!$I29)*(1+'Cost Margin'!$N29)</f>
        <v>0</v>
      </c>
      <c r="H87" s="7" t="n">
        <f aca="false">H43*IF('Cost Margin'!$I29="",0,'Cost Margin'!$I29)*(1+'Cost Margin'!$N29)</f>
        <v>0</v>
      </c>
      <c r="I87" s="7" t="n">
        <f aca="false">I43*IF('Cost Margin'!$I29="",0,'Cost Margin'!$I29)*(1+'Cost Margin'!$N29)</f>
        <v>0</v>
      </c>
      <c r="J87" s="7" t="n">
        <f aca="false">J43*IF('Cost Margin'!$I29="",0,'Cost Margin'!$I29)*(1+'Cost Margin'!$N29)</f>
        <v>0</v>
      </c>
      <c r="K87" s="7" t="n">
        <f aca="false">K43*IF('Cost Margin'!$I29="",0,'Cost Margin'!$I29)*(1+'Cost Margin'!$N29)</f>
        <v>0</v>
      </c>
      <c r="L87" s="7" t="n">
        <f aca="false">L43*IF('Cost Margin'!$I29="",0,'Cost Margin'!$I29)*(1+'Cost Margin'!$N29)</f>
        <v>0</v>
      </c>
      <c r="M87" s="7" t="n">
        <f aca="false">M43*IF('Cost Margin'!$I29="",0,'Cost Margin'!$I29)*(1+'Cost Margin'!$N29)</f>
        <v>0</v>
      </c>
      <c r="N87" s="7" t="n">
        <f aca="false">N43*IF('Cost Margin'!$I29="",0,'Cost Margin'!$I29)*(1+'Cost Margin'!$N29)</f>
        <v>0</v>
      </c>
      <c r="O87" s="7" t="n">
        <f aca="false">O43*IF('Cost Margin'!$I29="",0,'Cost Margin'!$I29)*(1+'Cost Margin'!$N29)</f>
        <v>0</v>
      </c>
      <c r="P87" s="7" t="n">
        <f aca="false">P43*IF('Cost Margin'!$I29="",0,'Cost Margin'!$I29)*(1+'Cost Margin'!$N29)</f>
        <v>0</v>
      </c>
      <c r="Q87" s="7" t="n">
        <f aca="false">Q43*IF('Cost Margin'!$I29="",0,'Cost Margin'!$I29)*(1+'Cost Margin'!$N29)</f>
        <v>0</v>
      </c>
      <c r="R87" s="7" t="n">
        <f aca="false">R43*IF('Cost Margin'!$I29="",0,'Cost Margin'!$I29)*(1+'Cost Margin'!$N29)</f>
        <v>0</v>
      </c>
      <c r="S87" s="7" t="n">
        <f aca="false">S43*IF('Cost Margin'!$I29="",0,'Cost Margin'!$I29)*(1+'Cost Margin'!$N29)</f>
        <v>0</v>
      </c>
      <c r="T87" s="7" t="n">
        <f aca="false">T43*IF('Cost Margin'!$I29="",0,'Cost Margin'!$I29)*(1+'Cost Margin'!$N29)</f>
        <v>0</v>
      </c>
      <c r="U87" s="7" t="n">
        <f aca="false">U43*IF('Cost Margin'!$I29="",0,'Cost Margin'!$I29)*(1+'Cost Margin'!$N29)</f>
        <v>0</v>
      </c>
      <c r="V87" s="7" t="n">
        <f aca="false">V43*IF('Cost Margin'!$I29="",0,'Cost Margin'!$I29)*(1+'Cost Margin'!$N29)</f>
        <v>0</v>
      </c>
      <c r="W87" s="7" t="n">
        <f aca="false">W43*IF('Cost Margin'!$I29="",0,'Cost Margin'!$I29)*(1+'Cost Margin'!$N29)</f>
        <v>0</v>
      </c>
      <c r="X87" s="7" t="n">
        <f aca="false">X43*IF('Cost Margin'!$I29="",0,'Cost Margin'!$I29)*(1+'Cost Margin'!$N29)</f>
        <v>0</v>
      </c>
      <c r="Y87" s="7" t="n">
        <f aca="false">Y43*IF('Cost Margin'!$I29="",0,'Cost Margin'!$I29)*(1+'Cost Margin'!$N29)</f>
        <v>0</v>
      </c>
      <c r="Z87" s="7" t="n">
        <f aca="false">Z43*IF('Cost Margin'!$I29="",0,'Cost Margin'!$I29)*(1+'Cost Margin'!$N29)</f>
        <v>0</v>
      </c>
      <c r="AB87" s="34" t="str">
        <f aca="false">IF('Cost Margin'!A29="","",IF('Cost Margin'!E29="","(unassigned)",'Cost Margin'!E29))</f>
        <v/>
      </c>
    </row>
    <row r="88" customFormat="false" ht="15" hidden="false" customHeight="false" outlineLevel="0" collapsed="false">
      <c r="A88" s="0" t="n">
        <v>14</v>
      </c>
      <c r="B88" s="34" t="str">
        <f aca="false">IF('Cost Margin'!A30="","",'Cost Margin'!A30&amp;IF('Cost Margin'!E30="",""," · "&amp;'Cost Margin'!E30))</f>
        <v/>
      </c>
      <c r="C88" s="7" t="n">
        <f aca="false">C44*IF('Cost Margin'!$I30="",0,'Cost Margin'!$I30)*(1+'Cost Margin'!$N30)</f>
        <v>0</v>
      </c>
      <c r="D88" s="7" t="n">
        <f aca="false">D44*IF('Cost Margin'!$I30="",0,'Cost Margin'!$I30)*(1+'Cost Margin'!$N30)</f>
        <v>0</v>
      </c>
      <c r="E88" s="7" t="n">
        <f aca="false">E44*IF('Cost Margin'!$I30="",0,'Cost Margin'!$I30)*(1+'Cost Margin'!$N30)</f>
        <v>0</v>
      </c>
      <c r="F88" s="7" t="n">
        <f aca="false">F44*IF('Cost Margin'!$I30="",0,'Cost Margin'!$I30)*(1+'Cost Margin'!$N30)</f>
        <v>0</v>
      </c>
      <c r="G88" s="7" t="n">
        <f aca="false">G44*IF('Cost Margin'!$I30="",0,'Cost Margin'!$I30)*(1+'Cost Margin'!$N30)</f>
        <v>0</v>
      </c>
      <c r="H88" s="7" t="n">
        <f aca="false">H44*IF('Cost Margin'!$I30="",0,'Cost Margin'!$I30)*(1+'Cost Margin'!$N30)</f>
        <v>0</v>
      </c>
      <c r="I88" s="7" t="n">
        <f aca="false">I44*IF('Cost Margin'!$I30="",0,'Cost Margin'!$I30)*(1+'Cost Margin'!$N30)</f>
        <v>0</v>
      </c>
      <c r="J88" s="7" t="n">
        <f aca="false">J44*IF('Cost Margin'!$I30="",0,'Cost Margin'!$I30)*(1+'Cost Margin'!$N30)</f>
        <v>0</v>
      </c>
      <c r="K88" s="7" t="n">
        <f aca="false">K44*IF('Cost Margin'!$I30="",0,'Cost Margin'!$I30)*(1+'Cost Margin'!$N30)</f>
        <v>0</v>
      </c>
      <c r="L88" s="7" t="n">
        <f aca="false">L44*IF('Cost Margin'!$I30="",0,'Cost Margin'!$I30)*(1+'Cost Margin'!$N30)</f>
        <v>0</v>
      </c>
      <c r="M88" s="7" t="n">
        <f aca="false">M44*IF('Cost Margin'!$I30="",0,'Cost Margin'!$I30)*(1+'Cost Margin'!$N30)</f>
        <v>0</v>
      </c>
      <c r="N88" s="7" t="n">
        <f aca="false">N44*IF('Cost Margin'!$I30="",0,'Cost Margin'!$I30)*(1+'Cost Margin'!$N30)</f>
        <v>0</v>
      </c>
      <c r="O88" s="7" t="n">
        <f aca="false">O44*IF('Cost Margin'!$I30="",0,'Cost Margin'!$I30)*(1+'Cost Margin'!$N30)</f>
        <v>0</v>
      </c>
      <c r="P88" s="7" t="n">
        <f aca="false">P44*IF('Cost Margin'!$I30="",0,'Cost Margin'!$I30)*(1+'Cost Margin'!$N30)</f>
        <v>0</v>
      </c>
      <c r="Q88" s="7" t="n">
        <f aca="false">Q44*IF('Cost Margin'!$I30="",0,'Cost Margin'!$I30)*(1+'Cost Margin'!$N30)</f>
        <v>0</v>
      </c>
      <c r="R88" s="7" t="n">
        <f aca="false">R44*IF('Cost Margin'!$I30="",0,'Cost Margin'!$I30)*(1+'Cost Margin'!$N30)</f>
        <v>0</v>
      </c>
      <c r="S88" s="7" t="n">
        <f aca="false">S44*IF('Cost Margin'!$I30="",0,'Cost Margin'!$I30)*(1+'Cost Margin'!$N30)</f>
        <v>0</v>
      </c>
      <c r="T88" s="7" t="n">
        <f aca="false">T44*IF('Cost Margin'!$I30="",0,'Cost Margin'!$I30)*(1+'Cost Margin'!$N30)</f>
        <v>0</v>
      </c>
      <c r="U88" s="7" t="n">
        <f aca="false">U44*IF('Cost Margin'!$I30="",0,'Cost Margin'!$I30)*(1+'Cost Margin'!$N30)</f>
        <v>0</v>
      </c>
      <c r="V88" s="7" t="n">
        <f aca="false">V44*IF('Cost Margin'!$I30="",0,'Cost Margin'!$I30)*(1+'Cost Margin'!$N30)</f>
        <v>0</v>
      </c>
      <c r="W88" s="7" t="n">
        <f aca="false">W44*IF('Cost Margin'!$I30="",0,'Cost Margin'!$I30)*(1+'Cost Margin'!$N30)</f>
        <v>0</v>
      </c>
      <c r="X88" s="7" t="n">
        <f aca="false">X44*IF('Cost Margin'!$I30="",0,'Cost Margin'!$I30)*(1+'Cost Margin'!$N30)</f>
        <v>0</v>
      </c>
      <c r="Y88" s="7" t="n">
        <f aca="false">Y44*IF('Cost Margin'!$I30="",0,'Cost Margin'!$I30)*(1+'Cost Margin'!$N30)</f>
        <v>0</v>
      </c>
      <c r="Z88" s="7" t="n">
        <f aca="false">Z44*IF('Cost Margin'!$I30="",0,'Cost Margin'!$I30)*(1+'Cost Margin'!$N30)</f>
        <v>0</v>
      </c>
      <c r="AB88" s="34" t="str">
        <f aca="false">IF('Cost Margin'!A30="","",IF('Cost Margin'!E30="","(unassigned)",'Cost Margin'!E30))</f>
        <v/>
      </c>
    </row>
    <row r="89" customFormat="false" ht="15" hidden="false" customHeight="false" outlineLevel="0" collapsed="false">
      <c r="A89" s="0" t="n">
        <v>15</v>
      </c>
      <c r="B89" s="34" t="str">
        <f aca="false">IF('Cost Margin'!A31="","",'Cost Margin'!A31&amp;IF('Cost Margin'!E31="",""," · "&amp;'Cost Margin'!E31))</f>
        <v/>
      </c>
      <c r="C89" s="7" t="n">
        <f aca="false">C45*IF('Cost Margin'!$I31="",0,'Cost Margin'!$I31)*(1+'Cost Margin'!$N31)</f>
        <v>0</v>
      </c>
      <c r="D89" s="7" t="n">
        <f aca="false">D45*IF('Cost Margin'!$I31="",0,'Cost Margin'!$I31)*(1+'Cost Margin'!$N31)</f>
        <v>0</v>
      </c>
      <c r="E89" s="7" t="n">
        <f aca="false">E45*IF('Cost Margin'!$I31="",0,'Cost Margin'!$I31)*(1+'Cost Margin'!$N31)</f>
        <v>0</v>
      </c>
      <c r="F89" s="7" t="n">
        <f aca="false">F45*IF('Cost Margin'!$I31="",0,'Cost Margin'!$I31)*(1+'Cost Margin'!$N31)</f>
        <v>0</v>
      </c>
      <c r="G89" s="7" t="n">
        <f aca="false">G45*IF('Cost Margin'!$I31="",0,'Cost Margin'!$I31)*(1+'Cost Margin'!$N31)</f>
        <v>0</v>
      </c>
      <c r="H89" s="7" t="n">
        <f aca="false">H45*IF('Cost Margin'!$I31="",0,'Cost Margin'!$I31)*(1+'Cost Margin'!$N31)</f>
        <v>0</v>
      </c>
      <c r="I89" s="7" t="n">
        <f aca="false">I45*IF('Cost Margin'!$I31="",0,'Cost Margin'!$I31)*(1+'Cost Margin'!$N31)</f>
        <v>0</v>
      </c>
      <c r="J89" s="7" t="n">
        <f aca="false">J45*IF('Cost Margin'!$I31="",0,'Cost Margin'!$I31)*(1+'Cost Margin'!$N31)</f>
        <v>0</v>
      </c>
      <c r="K89" s="7" t="n">
        <f aca="false">K45*IF('Cost Margin'!$I31="",0,'Cost Margin'!$I31)*(1+'Cost Margin'!$N31)</f>
        <v>0</v>
      </c>
      <c r="L89" s="7" t="n">
        <f aca="false">L45*IF('Cost Margin'!$I31="",0,'Cost Margin'!$I31)*(1+'Cost Margin'!$N31)</f>
        <v>0</v>
      </c>
      <c r="M89" s="7" t="n">
        <f aca="false">M45*IF('Cost Margin'!$I31="",0,'Cost Margin'!$I31)*(1+'Cost Margin'!$N31)</f>
        <v>0</v>
      </c>
      <c r="N89" s="7" t="n">
        <f aca="false">N45*IF('Cost Margin'!$I31="",0,'Cost Margin'!$I31)*(1+'Cost Margin'!$N31)</f>
        <v>0</v>
      </c>
      <c r="O89" s="7" t="n">
        <f aca="false">O45*IF('Cost Margin'!$I31="",0,'Cost Margin'!$I31)*(1+'Cost Margin'!$N31)</f>
        <v>0</v>
      </c>
      <c r="P89" s="7" t="n">
        <f aca="false">P45*IF('Cost Margin'!$I31="",0,'Cost Margin'!$I31)*(1+'Cost Margin'!$N31)</f>
        <v>0</v>
      </c>
      <c r="Q89" s="7" t="n">
        <f aca="false">Q45*IF('Cost Margin'!$I31="",0,'Cost Margin'!$I31)*(1+'Cost Margin'!$N31)</f>
        <v>0</v>
      </c>
      <c r="R89" s="7" t="n">
        <f aca="false">R45*IF('Cost Margin'!$I31="",0,'Cost Margin'!$I31)*(1+'Cost Margin'!$N31)</f>
        <v>0</v>
      </c>
      <c r="S89" s="7" t="n">
        <f aca="false">S45*IF('Cost Margin'!$I31="",0,'Cost Margin'!$I31)*(1+'Cost Margin'!$N31)</f>
        <v>0</v>
      </c>
      <c r="T89" s="7" t="n">
        <f aca="false">T45*IF('Cost Margin'!$I31="",0,'Cost Margin'!$I31)*(1+'Cost Margin'!$N31)</f>
        <v>0</v>
      </c>
      <c r="U89" s="7" t="n">
        <f aca="false">U45*IF('Cost Margin'!$I31="",0,'Cost Margin'!$I31)*(1+'Cost Margin'!$N31)</f>
        <v>0</v>
      </c>
      <c r="V89" s="7" t="n">
        <f aca="false">V45*IF('Cost Margin'!$I31="",0,'Cost Margin'!$I31)*(1+'Cost Margin'!$N31)</f>
        <v>0</v>
      </c>
      <c r="W89" s="7" t="n">
        <f aca="false">W45*IF('Cost Margin'!$I31="",0,'Cost Margin'!$I31)*(1+'Cost Margin'!$N31)</f>
        <v>0</v>
      </c>
      <c r="X89" s="7" t="n">
        <f aca="false">X45*IF('Cost Margin'!$I31="",0,'Cost Margin'!$I31)*(1+'Cost Margin'!$N31)</f>
        <v>0</v>
      </c>
      <c r="Y89" s="7" t="n">
        <f aca="false">Y45*IF('Cost Margin'!$I31="",0,'Cost Margin'!$I31)*(1+'Cost Margin'!$N31)</f>
        <v>0</v>
      </c>
      <c r="Z89" s="7" t="n">
        <f aca="false">Z45*IF('Cost Margin'!$I31="",0,'Cost Margin'!$I31)*(1+'Cost Margin'!$N31)</f>
        <v>0</v>
      </c>
      <c r="AB89" s="34" t="str">
        <f aca="false">IF('Cost Margin'!A31="","",IF('Cost Margin'!E31="","(unassigned)",'Cost Margin'!E31))</f>
        <v/>
      </c>
    </row>
    <row r="90" customFormat="false" ht="15" hidden="false" customHeight="false" outlineLevel="0" collapsed="false">
      <c r="A90" s="0" t="n">
        <v>16</v>
      </c>
      <c r="B90" s="34" t="str">
        <f aca="false">IF('Cost Margin'!A32="","",'Cost Margin'!A32&amp;IF('Cost Margin'!E32="",""," · "&amp;'Cost Margin'!E32))</f>
        <v/>
      </c>
      <c r="C90" s="7" t="n">
        <f aca="false">C46*IF('Cost Margin'!$I32="",0,'Cost Margin'!$I32)*(1+'Cost Margin'!$N32)</f>
        <v>0</v>
      </c>
      <c r="D90" s="7" t="n">
        <f aca="false">D46*IF('Cost Margin'!$I32="",0,'Cost Margin'!$I32)*(1+'Cost Margin'!$N32)</f>
        <v>0</v>
      </c>
      <c r="E90" s="7" t="n">
        <f aca="false">E46*IF('Cost Margin'!$I32="",0,'Cost Margin'!$I32)*(1+'Cost Margin'!$N32)</f>
        <v>0</v>
      </c>
      <c r="F90" s="7" t="n">
        <f aca="false">F46*IF('Cost Margin'!$I32="",0,'Cost Margin'!$I32)*(1+'Cost Margin'!$N32)</f>
        <v>0</v>
      </c>
      <c r="G90" s="7" t="n">
        <f aca="false">G46*IF('Cost Margin'!$I32="",0,'Cost Margin'!$I32)*(1+'Cost Margin'!$N32)</f>
        <v>0</v>
      </c>
      <c r="H90" s="7" t="n">
        <f aca="false">H46*IF('Cost Margin'!$I32="",0,'Cost Margin'!$I32)*(1+'Cost Margin'!$N32)</f>
        <v>0</v>
      </c>
      <c r="I90" s="7" t="n">
        <f aca="false">I46*IF('Cost Margin'!$I32="",0,'Cost Margin'!$I32)*(1+'Cost Margin'!$N32)</f>
        <v>0</v>
      </c>
      <c r="J90" s="7" t="n">
        <f aca="false">J46*IF('Cost Margin'!$I32="",0,'Cost Margin'!$I32)*(1+'Cost Margin'!$N32)</f>
        <v>0</v>
      </c>
      <c r="K90" s="7" t="n">
        <f aca="false">K46*IF('Cost Margin'!$I32="",0,'Cost Margin'!$I32)*(1+'Cost Margin'!$N32)</f>
        <v>0</v>
      </c>
      <c r="L90" s="7" t="n">
        <f aca="false">L46*IF('Cost Margin'!$I32="",0,'Cost Margin'!$I32)*(1+'Cost Margin'!$N32)</f>
        <v>0</v>
      </c>
      <c r="M90" s="7" t="n">
        <f aca="false">M46*IF('Cost Margin'!$I32="",0,'Cost Margin'!$I32)*(1+'Cost Margin'!$N32)</f>
        <v>0</v>
      </c>
      <c r="N90" s="7" t="n">
        <f aca="false">N46*IF('Cost Margin'!$I32="",0,'Cost Margin'!$I32)*(1+'Cost Margin'!$N32)</f>
        <v>0</v>
      </c>
      <c r="O90" s="7" t="n">
        <f aca="false">O46*IF('Cost Margin'!$I32="",0,'Cost Margin'!$I32)*(1+'Cost Margin'!$N32)</f>
        <v>0</v>
      </c>
      <c r="P90" s="7" t="n">
        <f aca="false">P46*IF('Cost Margin'!$I32="",0,'Cost Margin'!$I32)*(1+'Cost Margin'!$N32)</f>
        <v>0</v>
      </c>
      <c r="Q90" s="7" t="n">
        <f aca="false">Q46*IF('Cost Margin'!$I32="",0,'Cost Margin'!$I32)*(1+'Cost Margin'!$N32)</f>
        <v>0</v>
      </c>
      <c r="R90" s="7" t="n">
        <f aca="false">R46*IF('Cost Margin'!$I32="",0,'Cost Margin'!$I32)*(1+'Cost Margin'!$N32)</f>
        <v>0</v>
      </c>
      <c r="S90" s="7" t="n">
        <f aca="false">S46*IF('Cost Margin'!$I32="",0,'Cost Margin'!$I32)*(1+'Cost Margin'!$N32)</f>
        <v>0</v>
      </c>
      <c r="T90" s="7" t="n">
        <f aca="false">T46*IF('Cost Margin'!$I32="",0,'Cost Margin'!$I32)*(1+'Cost Margin'!$N32)</f>
        <v>0</v>
      </c>
      <c r="U90" s="7" t="n">
        <f aca="false">U46*IF('Cost Margin'!$I32="",0,'Cost Margin'!$I32)*(1+'Cost Margin'!$N32)</f>
        <v>0</v>
      </c>
      <c r="V90" s="7" t="n">
        <f aca="false">V46*IF('Cost Margin'!$I32="",0,'Cost Margin'!$I32)*(1+'Cost Margin'!$N32)</f>
        <v>0</v>
      </c>
      <c r="W90" s="7" t="n">
        <f aca="false">W46*IF('Cost Margin'!$I32="",0,'Cost Margin'!$I32)*(1+'Cost Margin'!$N32)</f>
        <v>0</v>
      </c>
      <c r="X90" s="7" t="n">
        <f aca="false">X46*IF('Cost Margin'!$I32="",0,'Cost Margin'!$I32)*(1+'Cost Margin'!$N32)</f>
        <v>0</v>
      </c>
      <c r="Y90" s="7" t="n">
        <f aca="false">Y46*IF('Cost Margin'!$I32="",0,'Cost Margin'!$I32)*(1+'Cost Margin'!$N32)</f>
        <v>0</v>
      </c>
      <c r="Z90" s="7" t="n">
        <f aca="false">Z46*IF('Cost Margin'!$I32="",0,'Cost Margin'!$I32)*(1+'Cost Margin'!$N32)</f>
        <v>0</v>
      </c>
      <c r="AB90" s="34" t="str">
        <f aca="false">IF('Cost Margin'!A32="","",IF('Cost Margin'!E32="","(unassigned)",'Cost Margin'!E32))</f>
        <v/>
      </c>
    </row>
    <row r="91" customFormat="false" ht="15" hidden="false" customHeight="false" outlineLevel="0" collapsed="false">
      <c r="A91" s="0" t="n">
        <v>17</v>
      </c>
      <c r="B91" s="34" t="str">
        <f aca="false">IF('Cost Margin'!A33="","",'Cost Margin'!A33&amp;IF('Cost Margin'!E33="",""," · "&amp;'Cost Margin'!E33))</f>
        <v/>
      </c>
      <c r="C91" s="7" t="n">
        <f aca="false">C47*IF('Cost Margin'!$I33="",0,'Cost Margin'!$I33)*(1+'Cost Margin'!$N33)</f>
        <v>0</v>
      </c>
      <c r="D91" s="7" t="n">
        <f aca="false">D47*IF('Cost Margin'!$I33="",0,'Cost Margin'!$I33)*(1+'Cost Margin'!$N33)</f>
        <v>0</v>
      </c>
      <c r="E91" s="7" t="n">
        <f aca="false">E47*IF('Cost Margin'!$I33="",0,'Cost Margin'!$I33)*(1+'Cost Margin'!$N33)</f>
        <v>0</v>
      </c>
      <c r="F91" s="7" t="n">
        <f aca="false">F47*IF('Cost Margin'!$I33="",0,'Cost Margin'!$I33)*(1+'Cost Margin'!$N33)</f>
        <v>0</v>
      </c>
      <c r="G91" s="7" t="n">
        <f aca="false">G47*IF('Cost Margin'!$I33="",0,'Cost Margin'!$I33)*(1+'Cost Margin'!$N33)</f>
        <v>0</v>
      </c>
      <c r="H91" s="7" t="n">
        <f aca="false">H47*IF('Cost Margin'!$I33="",0,'Cost Margin'!$I33)*(1+'Cost Margin'!$N33)</f>
        <v>0</v>
      </c>
      <c r="I91" s="7" t="n">
        <f aca="false">I47*IF('Cost Margin'!$I33="",0,'Cost Margin'!$I33)*(1+'Cost Margin'!$N33)</f>
        <v>0</v>
      </c>
      <c r="J91" s="7" t="n">
        <f aca="false">J47*IF('Cost Margin'!$I33="",0,'Cost Margin'!$I33)*(1+'Cost Margin'!$N33)</f>
        <v>0</v>
      </c>
      <c r="K91" s="7" t="n">
        <f aca="false">K47*IF('Cost Margin'!$I33="",0,'Cost Margin'!$I33)*(1+'Cost Margin'!$N33)</f>
        <v>0</v>
      </c>
      <c r="L91" s="7" t="n">
        <f aca="false">L47*IF('Cost Margin'!$I33="",0,'Cost Margin'!$I33)*(1+'Cost Margin'!$N33)</f>
        <v>0</v>
      </c>
      <c r="M91" s="7" t="n">
        <f aca="false">M47*IF('Cost Margin'!$I33="",0,'Cost Margin'!$I33)*(1+'Cost Margin'!$N33)</f>
        <v>0</v>
      </c>
      <c r="N91" s="7" t="n">
        <f aca="false">N47*IF('Cost Margin'!$I33="",0,'Cost Margin'!$I33)*(1+'Cost Margin'!$N33)</f>
        <v>0</v>
      </c>
      <c r="O91" s="7" t="n">
        <f aca="false">O47*IF('Cost Margin'!$I33="",0,'Cost Margin'!$I33)*(1+'Cost Margin'!$N33)</f>
        <v>0</v>
      </c>
      <c r="P91" s="7" t="n">
        <f aca="false">P47*IF('Cost Margin'!$I33="",0,'Cost Margin'!$I33)*(1+'Cost Margin'!$N33)</f>
        <v>0</v>
      </c>
      <c r="Q91" s="7" t="n">
        <f aca="false">Q47*IF('Cost Margin'!$I33="",0,'Cost Margin'!$I33)*(1+'Cost Margin'!$N33)</f>
        <v>0</v>
      </c>
      <c r="R91" s="7" t="n">
        <f aca="false">R47*IF('Cost Margin'!$I33="",0,'Cost Margin'!$I33)*(1+'Cost Margin'!$N33)</f>
        <v>0</v>
      </c>
      <c r="S91" s="7" t="n">
        <f aca="false">S47*IF('Cost Margin'!$I33="",0,'Cost Margin'!$I33)*(1+'Cost Margin'!$N33)</f>
        <v>0</v>
      </c>
      <c r="T91" s="7" t="n">
        <f aca="false">T47*IF('Cost Margin'!$I33="",0,'Cost Margin'!$I33)*(1+'Cost Margin'!$N33)</f>
        <v>0</v>
      </c>
      <c r="U91" s="7" t="n">
        <f aca="false">U47*IF('Cost Margin'!$I33="",0,'Cost Margin'!$I33)*(1+'Cost Margin'!$N33)</f>
        <v>0</v>
      </c>
      <c r="V91" s="7" t="n">
        <f aca="false">V47*IF('Cost Margin'!$I33="",0,'Cost Margin'!$I33)*(1+'Cost Margin'!$N33)</f>
        <v>0</v>
      </c>
      <c r="W91" s="7" t="n">
        <f aca="false">W47*IF('Cost Margin'!$I33="",0,'Cost Margin'!$I33)*(1+'Cost Margin'!$N33)</f>
        <v>0</v>
      </c>
      <c r="X91" s="7" t="n">
        <f aca="false">X47*IF('Cost Margin'!$I33="",0,'Cost Margin'!$I33)*(1+'Cost Margin'!$N33)</f>
        <v>0</v>
      </c>
      <c r="Y91" s="7" t="n">
        <f aca="false">Y47*IF('Cost Margin'!$I33="",0,'Cost Margin'!$I33)*(1+'Cost Margin'!$N33)</f>
        <v>0</v>
      </c>
      <c r="Z91" s="7" t="n">
        <f aca="false">Z47*IF('Cost Margin'!$I33="",0,'Cost Margin'!$I33)*(1+'Cost Margin'!$N33)</f>
        <v>0</v>
      </c>
      <c r="AB91" s="34" t="str">
        <f aca="false">IF('Cost Margin'!A33="","",IF('Cost Margin'!E33="","(unassigned)",'Cost Margin'!E33))</f>
        <v/>
      </c>
    </row>
    <row r="92" customFormat="false" ht="15" hidden="false" customHeight="false" outlineLevel="0" collapsed="false">
      <c r="A92" s="0" t="n">
        <v>18</v>
      </c>
      <c r="B92" s="34" t="str">
        <f aca="false">IF('Cost Margin'!A34="","",'Cost Margin'!A34&amp;IF('Cost Margin'!E34="",""," · "&amp;'Cost Margin'!E34))</f>
        <v/>
      </c>
      <c r="C92" s="7" t="n">
        <f aca="false">C48*IF('Cost Margin'!$I34="",0,'Cost Margin'!$I34)*(1+'Cost Margin'!$N34)</f>
        <v>0</v>
      </c>
      <c r="D92" s="7" t="n">
        <f aca="false">D48*IF('Cost Margin'!$I34="",0,'Cost Margin'!$I34)*(1+'Cost Margin'!$N34)</f>
        <v>0</v>
      </c>
      <c r="E92" s="7" t="n">
        <f aca="false">E48*IF('Cost Margin'!$I34="",0,'Cost Margin'!$I34)*(1+'Cost Margin'!$N34)</f>
        <v>0</v>
      </c>
      <c r="F92" s="7" t="n">
        <f aca="false">F48*IF('Cost Margin'!$I34="",0,'Cost Margin'!$I34)*(1+'Cost Margin'!$N34)</f>
        <v>0</v>
      </c>
      <c r="G92" s="7" t="n">
        <f aca="false">G48*IF('Cost Margin'!$I34="",0,'Cost Margin'!$I34)*(1+'Cost Margin'!$N34)</f>
        <v>0</v>
      </c>
      <c r="H92" s="7" t="n">
        <f aca="false">H48*IF('Cost Margin'!$I34="",0,'Cost Margin'!$I34)*(1+'Cost Margin'!$N34)</f>
        <v>0</v>
      </c>
      <c r="I92" s="7" t="n">
        <f aca="false">I48*IF('Cost Margin'!$I34="",0,'Cost Margin'!$I34)*(1+'Cost Margin'!$N34)</f>
        <v>0</v>
      </c>
      <c r="J92" s="7" t="n">
        <f aca="false">J48*IF('Cost Margin'!$I34="",0,'Cost Margin'!$I34)*(1+'Cost Margin'!$N34)</f>
        <v>0</v>
      </c>
      <c r="K92" s="7" t="n">
        <f aca="false">K48*IF('Cost Margin'!$I34="",0,'Cost Margin'!$I34)*(1+'Cost Margin'!$N34)</f>
        <v>0</v>
      </c>
      <c r="L92" s="7" t="n">
        <f aca="false">L48*IF('Cost Margin'!$I34="",0,'Cost Margin'!$I34)*(1+'Cost Margin'!$N34)</f>
        <v>0</v>
      </c>
      <c r="M92" s="7" t="n">
        <f aca="false">M48*IF('Cost Margin'!$I34="",0,'Cost Margin'!$I34)*(1+'Cost Margin'!$N34)</f>
        <v>0</v>
      </c>
      <c r="N92" s="7" t="n">
        <f aca="false">N48*IF('Cost Margin'!$I34="",0,'Cost Margin'!$I34)*(1+'Cost Margin'!$N34)</f>
        <v>0</v>
      </c>
      <c r="O92" s="7" t="n">
        <f aca="false">O48*IF('Cost Margin'!$I34="",0,'Cost Margin'!$I34)*(1+'Cost Margin'!$N34)</f>
        <v>0</v>
      </c>
      <c r="P92" s="7" t="n">
        <f aca="false">P48*IF('Cost Margin'!$I34="",0,'Cost Margin'!$I34)*(1+'Cost Margin'!$N34)</f>
        <v>0</v>
      </c>
      <c r="Q92" s="7" t="n">
        <f aca="false">Q48*IF('Cost Margin'!$I34="",0,'Cost Margin'!$I34)*(1+'Cost Margin'!$N34)</f>
        <v>0</v>
      </c>
      <c r="R92" s="7" t="n">
        <f aca="false">R48*IF('Cost Margin'!$I34="",0,'Cost Margin'!$I34)*(1+'Cost Margin'!$N34)</f>
        <v>0</v>
      </c>
      <c r="S92" s="7" t="n">
        <f aca="false">S48*IF('Cost Margin'!$I34="",0,'Cost Margin'!$I34)*(1+'Cost Margin'!$N34)</f>
        <v>0</v>
      </c>
      <c r="T92" s="7" t="n">
        <f aca="false">T48*IF('Cost Margin'!$I34="",0,'Cost Margin'!$I34)*(1+'Cost Margin'!$N34)</f>
        <v>0</v>
      </c>
      <c r="U92" s="7" t="n">
        <f aca="false">U48*IF('Cost Margin'!$I34="",0,'Cost Margin'!$I34)*(1+'Cost Margin'!$N34)</f>
        <v>0</v>
      </c>
      <c r="V92" s="7" t="n">
        <f aca="false">V48*IF('Cost Margin'!$I34="",0,'Cost Margin'!$I34)*(1+'Cost Margin'!$N34)</f>
        <v>0</v>
      </c>
      <c r="W92" s="7" t="n">
        <f aca="false">W48*IF('Cost Margin'!$I34="",0,'Cost Margin'!$I34)*(1+'Cost Margin'!$N34)</f>
        <v>0</v>
      </c>
      <c r="X92" s="7" t="n">
        <f aca="false">X48*IF('Cost Margin'!$I34="",0,'Cost Margin'!$I34)*(1+'Cost Margin'!$N34)</f>
        <v>0</v>
      </c>
      <c r="Y92" s="7" t="n">
        <f aca="false">Y48*IF('Cost Margin'!$I34="",0,'Cost Margin'!$I34)*(1+'Cost Margin'!$N34)</f>
        <v>0</v>
      </c>
      <c r="Z92" s="7" t="n">
        <f aca="false">Z48*IF('Cost Margin'!$I34="",0,'Cost Margin'!$I34)*(1+'Cost Margin'!$N34)</f>
        <v>0</v>
      </c>
      <c r="AB92" s="34" t="str">
        <f aca="false">IF('Cost Margin'!A34="","",IF('Cost Margin'!E34="","(unassigned)",'Cost Margin'!E34))</f>
        <v/>
      </c>
    </row>
    <row r="93" customFormat="false" ht="15" hidden="false" customHeight="false" outlineLevel="0" collapsed="false">
      <c r="A93" s="0" t="n">
        <v>19</v>
      </c>
      <c r="B93" s="34" t="str">
        <f aca="false">IF('Cost Margin'!A35="","",'Cost Margin'!A35&amp;IF('Cost Margin'!E35="",""," · "&amp;'Cost Margin'!E35))</f>
        <v/>
      </c>
      <c r="C93" s="7" t="n">
        <f aca="false">C49*IF('Cost Margin'!$I35="",0,'Cost Margin'!$I35)*(1+'Cost Margin'!$N35)</f>
        <v>0</v>
      </c>
      <c r="D93" s="7" t="n">
        <f aca="false">D49*IF('Cost Margin'!$I35="",0,'Cost Margin'!$I35)*(1+'Cost Margin'!$N35)</f>
        <v>0</v>
      </c>
      <c r="E93" s="7" t="n">
        <f aca="false">E49*IF('Cost Margin'!$I35="",0,'Cost Margin'!$I35)*(1+'Cost Margin'!$N35)</f>
        <v>0</v>
      </c>
      <c r="F93" s="7" t="n">
        <f aca="false">F49*IF('Cost Margin'!$I35="",0,'Cost Margin'!$I35)*(1+'Cost Margin'!$N35)</f>
        <v>0</v>
      </c>
      <c r="G93" s="7" t="n">
        <f aca="false">G49*IF('Cost Margin'!$I35="",0,'Cost Margin'!$I35)*(1+'Cost Margin'!$N35)</f>
        <v>0</v>
      </c>
      <c r="H93" s="7" t="n">
        <f aca="false">H49*IF('Cost Margin'!$I35="",0,'Cost Margin'!$I35)*(1+'Cost Margin'!$N35)</f>
        <v>0</v>
      </c>
      <c r="I93" s="7" t="n">
        <f aca="false">I49*IF('Cost Margin'!$I35="",0,'Cost Margin'!$I35)*(1+'Cost Margin'!$N35)</f>
        <v>0</v>
      </c>
      <c r="J93" s="7" t="n">
        <f aca="false">J49*IF('Cost Margin'!$I35="",0,'Cost Margin'!$I35)*(1+'Cost Margin'!$N35)</f>
        <v>0</v>
      </c>
      <c r="K93" s="7" t="n">
        <f aca="false">K49*IF('Cost Margin'!$I35="",0,'Cost Margin'!$I35)*(1+'Cost Margin'!$N35)</f>
        <v>0</v>
      </c>
      <c r="L93" s="7" t="n">
        <f aca="false">L49*IF('Cost Margin'!$I35="",0,'Cost Margin'!$I35)*(1+'Cost Margin'!$N35)</f>
        <v>0</v>
      </c>
      <c r="M93" s="7" t="n">
        <f aca="false">M49*IF('Cost Margin'!$I35="",0,'Cost Margin'!$I35)*(1+'Cost Margin'!$N35)</f>
        <v>0</v>
      </c>
      <c r="N93" s="7" t="n">
        <f aca="false">N49*IF('Cost Margin'!$I35="",0,'Cost Margin'!$I35)*(1+'Cost Margin'!$N35)</f>
        <v>0</v>
      </c>
      <c r="O93" s="7" t="n">
        <f aca="false">O49*IF('Cost Margin'!$I35="",0,'Cost Margin'!$I35)*(1+'Cost Margin'!$N35)</f>
        <v>0</v>
      </c>
      <c r="P93" s="7" t="n">
        <f aca="false">P49*IF('Cost Margin'!$I35="",0,'Cost Margin'!$I35)*(1+'Cost Margin'!$N35)</f>
        <v>0</v>
      </c>
      <c r="Q93" s="7" t="n">
        <f aca="false">Q49*IF('Cost Margin'!$I35="",0,'Cost Margin'!$I35)*(1+'Cost Margin'!$N35)</f>
        <v>0</v>
      </c>
      <c r="R93" s="7" t="n">
        <f aca="false">R49*IF('Cost Margin'!$I35="",0,'Cost Margin'!$I35)*(1+'Cost Margin'!$N35)</f>
        <v>0</v>
      </c>
      <c r="S93" s="7" t="n">
        <f aca="false">S49*IF('Cost Margin'!$I35="",0,'Cost Margin'!$I35)*(1+'Cost Margin'!$N35)</f>
        <v>0</v>
      </c>
      <c r="T93" s="7" t="n">
        <f aca="false">T49*IF('Cost Margin'!$I35="",0,'Cost Margin'!$I35)*(1+'Cost Margin'!$N35)</f>
        <v>0</v>
      </c>
      <c r="U93" s="7" t="n">
        <f aca="false">U49*IF('Cost Margin'!$I35="",0,'Cost Margin'!$I35)*(1+'Cost Margin'!$N35)</f>
        <v>0</v>
      </c>
      <c r="V93" s="7" t="n">
        <f aca="false">V49*IF('Cost Margin'!$I35="",0,'Cost Margin'!$I35)*(1+'Cost Margin'!$N35)</f>
        <v>0</v>
      </c>
      <c r="W93" s="7" t="n">
        <f aca="false">W49*IF('Cost Margin'!$I35="",0,'Cost Margin'!$I35)*(1+'Cost Margin'!$N35)</f>
        <v>0</v>
      </c>
      <c r="X93" s="7" t="n">
        <f aca="false">X49*IF('Cost Margin'!$I35="",0,'Cost Margin'!$I35)*(1+'Cost Margin'!$N35)</f>
        <v>0</v>
      </c>
      <c r="Y93" s="7" t="n">
        <f aca="false">Y49*IF('Cost Margin'!$I35="",0,'Cost Margin'!$I35)*(1+'Cost Margin'!$N35)</f>
        <v>0</v>
      </c>
      <c r="Z93" s="7" t="n">
        <f aca="false">Z49*IF('Cost Margin'!$I35="",0,'Cost Margin'!$I35)*(1+'Cost Margin'!$N35)</f>
        <v>0</v>
      </c>
      <c r="AB93" s="34" t="str">
        <f aca="false">IF('Cost Margin'!A35="","",IF('Cost Margin'!E35="","(unassigned)",'Cost Margin'!E35))</f>
        <v/>
      </c>
    </row>
    <row r="94" customFormat="false" ht="15" hidden="false" customHeight="false" outlineLevel="0" collapsed="false">
      <c r="A94" s="0" t="n">
        <v>20</v>
      </c>
      <c r="B94" s="34" t="str">
        <f aca="false">IF('Cost Margin'!A36="","",'Cost Margin'!A36&amp;IF('Cost Margin'!E36="",""," · "&amp;'Cost Margin'!E36))</f>
        <v/>
      </c>
      <c r="C94" s="7" t="n">
        <f aca="false">C50*IF('Cost Margin'!$I36="",0,'Cost Margin'!$I36)*(1+'Cost Margin'!$N36)</f>
        <v>0</v>
      </c>
      <c r="D94" s="7" t="n">
        <f aca="false">D50*IF('Cost Margin'!$I36="",0,'Cost Margin'!$I36)*(1+'Cost Margin'!$N36)</f>
        <v>0</v>
      </c>
      <c r="E94" s="7" t="n">
        <f aca="false">E50*IF('Cost Margin'!$I36="",0,'Cost Margin'!$I36)*(1+'Cost Margin'!$N36)</f>
        <v>0</v>
      </c>
      <c r="F94" s="7" t="n">
        <f aca="false">F50*IF('Cost Margin'!$I36="",0,'Cost Margin'!$I36)*(1+'Cost Margin'!$N36)</f>
        <v>0</v>
      </c>
      <c r="G94" s="7" t="n">
        <f aca="false">G50*IF('Cost Margin'!$I36="",0,'Cost Margin'!$I36)*(1+'Cost Margin'!$N36)</f>
        <v>0</v>
      </c>
      <c r="H94" s="7" t="n">
        <f aca="false">H50*IF('Cost Margin'!$I36="",0,'Cost Margin'!$I36)*(1+'Cost Margin'!$N36)</f>
        <v>0</v>
      </c>
      <c r="I94" s="7" t="n">
        <f aca="false">I50*IF('Cost Margin'!$I36="",0,'Cost Margin'!$I36)*(1+'Cost Margin'!$N36)</f>
        <v>0</v>
      </c>
      <c r="J94" s="7" t="n">
        <f aca="false">J50*IF('Cost Margin'!$I36="",0,'Cost Margin'!$I36)*(1+'Cost Margin'!$N36)</f>
        <v>0</v>
      </c>
      <c r="K94" s="7" t="n">
        <f aca="false">K50*IF('Cost Margin'!$I36="",0,'Cost Margin'!$I36)*(1+'Cost Margin'!$N36)</f>
        <v>0</v>
      </c>
      <c r="L94" s="7" t="n">
        <f aca="false">L50*IF('Cost Margin'!$I36="",0,'Cost Margin'!$I36)*(1+'Cost Margin'!$N36)</f>
        <v>0</v>
      </c>
      <c r="M94" s="7" t="n">
        <f aca="false">M50*IF('Cost Margin'!$I36="",0,'Cost Margin'!$I36)*(1+'Cost Margin'!$N36)</f>
        <v>0</v>
      </c>
      <c r="N94" s="7" t="n">
        <f aca="false">N50*IF('Cost Margin'!$I36="",0,'Cost Margin'!$I36)*(1+'Cost Margin'!$N36)</f>
        <v>0</v>
      </c>
      <c r="O94" s="7" t="n">
        <f aca="false">O50*IF('Cost Margin'!$I36="",0,'Cost Margin'!$I36)*(1+'Cost Margin'!$N36)</f>
        <v>0</v>
      </c>
      <c r="P94" s="7" t="n">
        <f aca="false">P50*IF('Cost Margin'!$I36="",0,'Cost Margin'!$I36)*(1+'Cost Margin'!$N36)</f>
        <v>0</v>
      </c>
      <c r="Q94" s="7" t="n">
        <f aca="false">Q50*IF('Cost Margin'!$I36="",0,'Cost Margin'!$I36)*(1+'Cost Margin'!$N36)</f>
        <v>0</v>
      </c>
      <c r="R94" s="7" t="n">
        <f aca="false">R50*IF('Cost Margin'!$I36="",0,'Cost Margin'!$I36)*(1+'Cost Margin'!$N36)</f>
        <v>0</v>
      </c>
      <c r="S94" s="7" t="n">
        <f aca="false">S50*IF('Cost Margin'!$I36="",0,'Cost Margin'!$I36)*(1+'Cost Margin'!$N36)</f>
        <v>0</v>
      </c>
      <c r="T94" s="7" t="n">
        <f aca="false">T50*IF('Cost Margin'!$I36="",0,'Cost Margin'!$I36)*(1+'Cost Margin'!$N36)</f>
        <v>0</v>
      </c>
      <c r="U94" s="7" t="n">
        <f aca="false">U50*IF('Cost Margin'!$I36="",0,'Cost Margin'!$I36)*(1+'Cost Margin'!$N36)</f>
        <v>0</v>
      </c>
      <c r="V94" s="7" t="n">
        <f aca="false">V50*IF('Cost Margin'!$I36="",0,'Cost Margin'!$I36)*(1+'Cost Margin'!$N36)</f>
        <v>0</v>
      </c>
      <c r="W94" s="7" t="n">
        <f aca="false">W50*IF('Cost Margin'!$I36="",0,'Cost Margin'!$I36)*(1+'Cost Margin'!$N36)</f>
        <v>0</v>
      </c>
      <c r="X94" s="7" t="n">
        <f aca="false">X50*IF('Cost Margin'!$I36="",0,'Cost Margin'!$I36)*(1+'Cost Margin'!$N36)</f>
        <v>0</v>
      </c>
      <c r="Y94" s="7" t="n">
        <f aca="false">Y50*IF('Cost Margin'!$I36="",0,'Cost Margin'!$I36)*(1+'Cost Margin'!$N36)</f>
        <v>0</v>
      </c>
      <c r="Z94" s="7" t="n">
        <f aca="false">Z50*IF('Cost Margin'!$I36="",0,'Cost Margin'!$I36)*(1+'Cost Margin'!$N36)</f>
        <v>0</v>
      </c>
      <c r="AB94" s="34" t="str">
        <f aca="false">IF('Cost Margin'!A36="","",IF('Cost Margin'!E36="","(unassigned)",'Cost Margin'!E36))</f>
        <v/>
      </c>
    </row>
    <row r="96" customFormat="false" ht="15" hidden="false" customHeight="false" outlineLevel="0" collapsed="false">
      <c r="A96" s="3" t="s">
        <v>147</v>
      </c>
    </row>
    <row r="97" customFormat="false" ht="15" hidden="false" customHeight="false" outlineLevel="0" collapsed="false">
      <c r="B97" s="36" t="s">
        <v>148</v>
      </c>
      <c r="C97" s="22" t="str">
        <f aca="false">IF(C$5="","",COUNTIF(C31:C50,"&gt;0"))</f>
        <v/>
      </c>
      <c r="D97" s="22" t="str">
        <f aca="false">IF(D$5="","",COUNTIF(D31:D50,"&gt;0"))</f>
        <v/>
      </c>
      <c r="E97" s="22" t="str">
        <f aca="false">IF(E$5="","",COUNTIF(E31:E50,"&gt;0"))</f>
        <v/>
      </c>
      <c r="F97" s="22" t="str">
        <f aca="false">IF(F$5="","",COUNTIF(F31:F50,"&gt;0"))</f>
        <v/>
      </c>
      <c r="G97" s="22" t="str">
        <f aca="false">IF(G$5="","",COUNTIF(G31:G50,"&gt;0"))</f>
        <v/>
      </c>
      <c r="H97" s="22" t="str">
        <f aca="false">IF(H$5="","",COUNTIF(H31:H50,"&gt;0"))</f>
        <v/>
      </c>
      <c r="I97" s="22" t="str">
        <f aca="false">IF(I$5="","",COUNTIF(I31:I50,"&gt;0"))</f>
        <v/>
      </c>
      <c r="J97" s="22" t="str">
        <f aca="false">IF(J$5="","",COUNTIF(J31:J50,"&gt;0"))</f>
        <v/>
      </c>
      <c r="K97" s="22" t="str">
        <f aca="false">IF(K$5="","",COUNTIF(K31:K50,"&gt;0"))</f>
        <v/>
      </c>
      <c r="L97" s="22" t="str">
        <f aca="false">IF(L$5="","",COUNTIF(L31:L50,"&gt;0"))</f>
        <v/>
      </c>
      <c r="M97" s="22" t="str">
        <f aca="false">IF(M$5="","",COUNTIF(M31:M50,"&gt;0"))</f>
        <v/>
      </c>
      <c r="N97" s="22" t="str">
        <f aca="false">IF(N$5="","",COUNTIF(N31:N50,"&gt;0"))</f>
        <v/>
      </c>
      <c r="O97" s="22" t="str">
        <f aca="false">IF(O$5="","",COUNTIF(O31:O50,"&gt;0"))</f>
        <v/>
      </c>
      <c r="P97" s="22" t="str">
        <f aca="false">IF(P$5="","",COUNTIF(P31:P50,"&gt;0"))</f>
        <v/>
      </c>
      <c r="Q97" s="22" t="str">
        <f aca="false">IF(Q$5="","",COUNTIF(Q31:Q50,"&gt;0"))</f>
        <v/>
      </c>
      <c r="R97" s="22" t="str">
        <f aca="false">IF(R$5="","",COUNTIF(R31:R50,"&gt;0"))</f>
        <v/>
      </c>
      <c r="S97" s="22" t="str">
        <f aca="false">IF(S$5="","",COUNTIF(S31:S50,"&gt;0"))</f>
        <v/>
      </c>
      <c r="T97" s="22" t="str">
        <f aca="false">IF(T$5="","",COUNTIF(T31:T50,"&gt;0"))</f>
        <v/>
      </c>
      <c r="U97" s="22" t="str">
        <f aca="false">IF(U$5="","",COUNTIF(U31:U50,"&gt;0"))</f>
        <v/>
      </c>
      <c r="V97" s="22" t="str">
        <f aca="false">IF(V$5="","",COUNTIF(V31:V50,"&gt;0"))</f>
        <v/>
      </c>
      <c r="W97" s="22" t="str">
        <f aca="false">IF(W$5="","",COUNTIF(W31:W50,"&gt;0"))</f>
        <v/>
      </c>
      <c r="X97" s="22" t="str">
        <f aca="false">IF(X$5="","",COUNTIF(X31:X50,"&gt;0"))</f>
        <v/>
      </c>
      <c r="Y97" s="22" t="str">
        <f aca="false">IF(Y$5="","",COUNTIF(Y31:Y50,"&gt;0"))</f>
        <v/>
      </c>
      <c r="Z97" s="22" t="str">
        <f aca="false">IF(Z$5="","",COUNTIF(Z31:Z50,"&gt;0"))</f>
        <v/>
      </c>
      <c r="AA97" s="37" t="n">
        <f aca="false">MAX(C97:Z97)</f>
        <v>0</v>
      </c>
    </row>
    <row r="98" customFormat="false" ht="15" hidden="false" customHeight="false" outlineLevel="0" collapsed="false">
      <c r="B98" s="36" t="s">
        <v>149</v>
      </c>
      <c r="C98" s="35" t="str">
        <f aca="false">IF(C$5="","",SUM(C31:C50))</f>
        <v/>
      </c>
      <c r="D98" s="35" t="str">
        <f aca="false">IF(D$5="","",SUM(D31:D50))</f>
        <v/>
      </c>
      <c r="E98" s="35" t="str">
        <f aca="false">IF(E$5="","",SUM(E31:E50))</f>
        <v/>
      </c>
      <c r="F98" s="35" t="str">
        <f aca="false">IF(F$5="","",SUM(F31:F50))</f>
        <v/>
      </c>
      <c r="G98" s="35" t="str">
        <f aca="false">IF(G$5="","",SUM(G31:G50))</f>
        <v/>
      </c>
      <c r="H98" s="35" t="str">
        <f aca="false">IF(H$5="","",SUM(H31:H50))</f>
        <v/>
      </c>
      <c r="I98" s="35" t="str">
        <f aca="false">IF(I$5="","",SUM(I31:I50))</f>
        <v/>
      </c>
      <c r="J98" s="35" t="str">
        <f aca="false">IF(J$5="","",SUM(J31:J50))</f>
        <v/>
      </c>
      <c r="K98" s="35" t="str">
        <f aca="false">IF(K$5="","",SUM(K31:K50))</f>
        <v/>
      </c>
      <c r="L98" s="35" t="str">
        <f aca="false">IF(L$5="","",SUM(L31:L50))</f>
        <v/>
      </c>
      <c r="M98" s="35" t="str">
        <f aca="false">IF(M$5="","",SUM(M31:M50))</f>
        <v/>
      </c>
      <c r="N98" s="35" t="str">
        <f aca="false">IF(N$5="","",SUM(N31:N50))</f>
        <v/>
      </c>
      <c r="O98" s="35" t="str">
        <f aca="false">IF(O$5="","",SUM(O31:O50))</f>
        <v/>
      </c>
      <c r="P98" s="35" t="str">
        <f aca="false">IF(P$5="","",SUM(P31:P50))</f>
        <v/>
      </c>
      <c r="Q98" s="35" t="str">
        <f aca="false">IF(Q$5="","",SUM(Q31:Q50))</f>
        <v/>
      </c>
      <c r="R98" s="35" t="str">
        <f aca="false">IF(R$5="","",SUM(R31:R50))</f>
        <v/>
      </c>
      <c r="S98" s="35" t="str">
        <f aca="false">IF(S$5="","",SUM(S31:S50))</f>
        <v/>
      </c>
      <c r="T98" s="35" t="str">
        <f aca="false">IF(T$5="","",SUM(T31:T50))</f>
        <v/>
      </c>
      <c r="U98" s="35" t="str">
        <f aca="false">IF(U$5="","",SUM(U31:U50))</f>
        <v/>
      </c>
      <c r="V98" s="35" t="str">
        <f aca="false">IF(V$5="","",SUM(V31:V50))</f>
        <v/>
      </c>
      <c r="W98" s="35" t="str">
        <f aca="false">IF(W$5="","",SUM(W31:W50))</f>
        <v/>
      </c>
      <c r="X98" s="35" t="str">
        <f aca="false">IF(X$5="","",SUM(X31:X50))</f>
        <v/>
      </c>
      <c r="Y98" s="35" t="str">
        <f aca="false">IF(Y$5="","",SUM(Y31:Y50))</f>
        <v/>
      </c>
      <c r="Z98" s="35" t="str">
        <f aca="false">IF(Z$5="","",SUM(Z31:Z50))</f>
        <v/>
      </c>
      <c r="AA98" s="24" t="n">
        <f aca="false">SUM(C98:Z98)</f>
        <v>0</v>
      </c>
    </row>
    <row r="99" customFormat="false" ht="15" hidden="false" customHeight="false" outlineLevel="0" collapsed="false">
      <c r="B99" s="36" t="s">
        <v>150</v>
      </c>
      <c r="C99" s="7" t="str">
        <f aca="false">IF(C$5="","",SUM(C75:C94))</f>
        <v/>
      </c>
      <c r="D99" s="7" t="str">
        <f aca="false">IF(D$5="","",SUM(D75:D94))</f>
        <v/>
      </c>
      <c r="E99" s="7" t="str">
        <f aca="false">IF(E$5="","",SUM(E75:E94))</f>
        <v/>
      </c>
      <c r="F99" s="7" t="str">
        <f aca="false">IF(F$5="","",SUM(F75:F94))</f>
        <v/>
      </c>
      <c r="G99" s="7" t="str">
        <f aca="false">IF(G$5="","",SUM(G75:G94))</f>
        <v/>
      </c>
      <c r="H99" s="7" t="str">
        <f aca="false">IF(H$5="","",SUM(H75:H94))</f>
        <v/>
      </c>
      <c r="I99" s="7" t="str">
        <f aca="false">IF(I$5="","",SUM(I75:I94))</f>
        <v/>
      </c>
      <c r="J99" s="7" t="str">
        <f aca="false">IF(J$5="","",SUM(J75:J94))</f>
        <v/>
      </c>
      <c r="K99" s="7" t="str">
        <f aca="false">IF(K$5="","",SUM(K75:K94))</f>
        <v/>
      </c>
      <c r="L99" s="7" t="str">
        <f aca="false">IF(L$5="","",SUM(L75:L94))</f>
        <v/>
      </c>
      <c r="M99" s="7" t="str">
        <f aca="false">IF(M$5="","",SUM(M75:M94))</f>
        <v/>
      </c>
      <c r="N99" s="7" t="str">
        <f aca="false">IF(N$5="","",SUM(N75:N94))</f>
        <v/>
      </c>
      <c r="O99" s="7" t="str">
        <f aca="false">IF(O$5="","",SUM(O75:O94))</f>
        <v/>
      </c>
      <c r="P99" s="7" t="str">
        <f aca="false">IF(P$5="","",SUM(P75:P94))</f>
        <v/>
      </c>
      <c r="Q99" s="7" t="str">
        <f aca="false">IF(Q$5="","",SUM(Q75:Q94))</f>
        <v/>
      </c>
      <c r="R99" s="7" t="str">
        <f aca="false">IF(R$5="","",SUM(R75:R94))</f>
        <v/>
      </c>
      <c r="S99" s="7" t="str">
        <f aca="false">IF(S$5="","",SUM(S75:S94))</f>
        <v/>
      </c>
      <c r="T99" s="7" t="str">
        <f aca="false">IF(T$5="","",SUM(T75:T94))</f>
        <v/>
      </c>
      <c r="U99" s="7" t="str">
        <f aca="false">IF(U$5="","",SUM(U75:U94))</f>
        <v/>
      </c>
      <c r="V99" s="7" t="str">
        <f aca="false">IF(V$5="","",SUM(V75:V94))</f>
        <v/>
      </c>
      <c r="W99" s="7" t="str">
        <f aca="false">IF(W$5="","",SUM(W75:W94))</f>
        <v/>
      </c>
      <c r="X99" s="7" t="str">
        <f aca="false">IF(X$5="","",SUM(X75:X94))</f>
        <v/>
      </c>
      <c r="Y99" s="7" t="str">
        <f aca="false">IF(Y$5="","",SUM(Y75:Y94))</f>
        <v/>
      </c>
      <c r="Z99" s="7" t="str">
        <f aca="false">IF(Z$5="","",SUM(Z75:Z94))</f>
        <v/>
      </c>
      <c r="AA99" s="25" t="n">
        <f aca="false">SUM(C99:Z99)</f>
        <v>0</v>
      </c>
    </row>
    <row r="100" customFormat="false" ht="15" hidden="false" customHeight="false" outlineLevel="0" collapsed="false">
      <c r="B100" s="36" t="s">
        <v>21</v>
      </c>
      <c r="C100" s="7" t="str">
        <f aca="false">IF(C$5="","",IF('Cost Margin'!$B$13&lt;&gt;"Y",0,C$4*SUMIFS('Cost Margin'!$D$41:$D$52,'Cost Margin'!$E$41:$E$52,"Monthly")+IF(0=0,SUMIFS('Cost Margin'!$D$41:$D$52,'Cost Margin'!$E$41:$E$52,"&lt;&gt;Monthly"),0)))</f>
        <v/>
      </c>
      <c r="D100" s="7" t="str">
        <f aca="false">IF(D$5="","",IF('Cost Margin'!$B$13&lt;&gt;"Y",0,D$4*SUMIFS('Cost Margin'!$D$41:$D$52,'Cost Margin'!$E$41:$E$52,"Monthly")+IF(1=0,SUMIFS('Cost Margin'!$D$41:$D$52,'Cost Margin'!$E$41:$E$52,"&lt;&gt;Monthly"),0)))</f>
        <v/>
      </c>
      <c r="E100" s="7" t="str">
        <f aca="false">IF(E$5="","",IF('Cost Margin'!$B$13&lt;&gt;"Y",0,E$4*SUMIFS('Cost Margin'!$D$41:$D$52,'Cost Margin'!$E$41:$E$52,"Monthly")+IF(2=0,SUMIFS('Cost Margin'!$D$41:$D$52,'Cost Margin'!$E$41:$E$52,"&lt;&gt;Monthly"),0)))</f>
        <v/>
      </c>
      <c r="F100" s="7" t="str">
        <f aca="false">IF(F$5="","",IF('Cost Margin'!$B$13&lt;&gt;"Y",0,F$4*SUMIFS('Cost Margin'!$D$41:$D$52,'Cost Margin'!$E$41:$E$52,"Monthly")+IF(3=0,SUMIFS('Cost Margin'!$D$41:$D$52,'Cost Margin'!$E$41:$E$52,"&lt;&gt;Monthly"),0)))</f>
        <v/>
      </c>
      <c r="G100" s="7" t="str">
        <f aca="false">IF(G$5="","",IF('Cost Margin'!$B$13&lt;&gt;"Y",0,G$4*SUMIFS('Cost Margin'!$D$41:$D$52,'Cost Margin'!$E$41:$E$52,"Monthly")+IF(4=0,SUMIFS('Cost Margin'!$D$41:$D$52,'Cost Margin'!$E$41:$E$52,"&lt;&gt;Monthly"),0)))</f>
        <v/>
      </c>
      <c r="H100" s="7" t="str">
        <f aca="false">IF(H$5="","",IF('Cost Margin'!$B$13&lt;&gt;"Y",0,H$4*SUMIFS('Cost Margin'!$D$41:$D$52,'Cost Margin'!$E$41:$E$52,"Monthly")+IF(5=0,SUMIFS('Cost Margin'!$D$41:$D$52,'Cost Margin'!$E$41:$E$52,"&lt;&gt;Monthly"),0)))</f>
        <v/>
      </c>
      <c r="I100" s="7" t="str">
        <f aca="false">IF(I$5="","",IF('Cost Margin'!$B$13&lt;&gt;"Y",0,I$4*SUMIFS('Cost Margin'!$D$41:$D$52,'Cost Margin'!$E$41:$E$52,"Monthly")+IF(6=0,SUMIFS('Cost Margin'!$D$41:$D$52,'Cost Margin'!$E$41:$E$52,"&lt;&gt;Monthly"),0)))</f>
        <v/>
      </c>
      <c r="J100" s="7" t="str">
        <f aca="false">IF(J$5="","",IF('Cost Margin'!$B$13&lt;&gt;"Y",0,J$4*SUMIFS('Cost Margin'!$D$41:$D$52,'Cost Margin'!$E$41:$E$52,"Monthly")+IF(7=0,SUMIFS('Cost Margin'!$D$41:$D$52,'Cost Margin'!$E$41:$E$52,"&lt;&gt;Monthly"),0)))</f>
        <v/>
      </c>
      <c r="K100" s="7" t="str">
        <f aca="false">IF(K$5="","",IF('Cost Margin'!$B$13&lt;&gt;"Y",0,K$4*SUMIFS('Cost Margin'!$D$41:$D$52,'Cost Margin'!$E$41:$E$52,"Monthly")+IF(8=0,SUMIFS('Cost Margin'!$D$41:$D$52,'Cost Margin'!$E$41:$E$52,"&lt;&gt;Monthly"),0)))</f>
        <v/>
      </c>
      <c r="L100" s="7" t="str">
        <f aca="false">IF(L$5="","",IF('Cost Margin'!$B$13&lt;&gt;"Y",0,L$4*SUMIFS('Cost Margin'!$D$41:$D$52,'Cost Margin'!$E$41:$E$52,"Monthly")+IF(9=0,SUMIFS('Cost Margin'!$D$41:$D$52,'Cost Margin'!$E$41:$E$52,"&lt;&gt;Monthly"),0)))</f>
        <v/>
      </c>
      <c r="M100" s="7" t="str">
        <f aca="false">IF(M$5="","",IF('Cost Margin'!$B$13&lt;&gt;"Y",0,M$4*SUMIFS('Cost Margin'!$D$41:$D$52,'Cost Margin'!$E$41:$E$52,"Monthly")+IF(10=0,SUMIFS('Cost Margin'!$D$41:$D$52,'Cost Margin'!$E$41:$E$52,"&lt;&gt;Monthly"),0)))</f>
        <v/>
      </c>
      <c r="N100" s="7" t="str">
        <f aca="false">IF(N$5="","",IF('Cost Margin'!$B$13&lt;&gt;"Y",0,N$4*SUMIFS('Cost Margin'!$D$41:$D$52,'Cost Margin'!$E$41:$E$52,"Monthly")+IF(11=0,SUMIFS('Cost Margin'!$D$41:$D$52,'Cost Margin'!$E$41:$E$52,"&lt;&gt;Monthly"),0)))</f>
        <v/>
      </c>
      <c r="O100" s="7" t="str">
        <f aca="false">IF(O$5="","",IF('Cost Margin'!$B$13&lt;&gt;"Y",0,O$4*SUMIFS('Cost Margin'!$D$41:$D$52,'Cost Margin'!$E$41:$E$52,"Monthly")+IF(12=0,SUMIFS('Cost Margin'!$D$41:$D$52,'Cost Margin'!$E$41:$E$52,"&lt;&gt;Monthly"),0)))</f>
        <v/>
      </c>
      <c r="P100" s="7" t="str">
        <f aca="false">IF(P$5="","",IF('Cost Margin'!$B$13&lt;&gt;"Y",0,P$4*SUMIFS('Cost Margin'!$D$41:$D$52,'Cost Margin'!$E$41:$E$52,"Monthly")+IF(13=0,SUMIFS('Cost Margin'!$D$41:$D$52,'Cost Margin'!$E$41:$E$52,"&lt;&gt;Monthly"),0)))</f>
        <v/>
      </c>
      <c r="Q100" s="7" t="str">
        <f aca="false">IF(Q$5="","",IF('Cost Margin'!$B$13&lt;&gt;"Y",0,Q$4*SUMIFS('Cost Margin'!$D$41:$D$52,'Cost Margin'!$E$41:$E$52,"Monthly")+IF(14=0,SUMIFS('Cost Margin'!$D$41:$D$52,'Cost Margin'!$E$41:$E$52,"&lt;&gt;Monthly"),0)))</f>
        <v/>
      </c>
      <c r="R100" s="7" t="str">
        <f aca="false">IF(R$5="","",IF('Cost Margin'!$B$13&lt;&gt;"Y",0,R$4*SUMIFS('Cost Margin'!$D$41:$D$52,'Cost Margin'!$E$41:$E$52,"Monthly")+IF(15=0,SUMIFS('Cost Margin'!$D$41:$D$52,'Cost Margin'!$E$41:$E$52,"&lt;&gt;Monthly"),0)))</f>
        <v/>
      </c>
      <c r="S100" s="7" t="str">
        <f aca="false">IF(S$5="","",IF('Cost Margin'!$B$13&lt;&gt;"Y",0,S$4*SUMIFS('Cost Margin'!$D$41:$D$52,'Cost Margin'!$E$41:$E$52,"Monthly")+IF(16=0,SUMIFS('Cost Margin'!$D$41:$D$52,'Cost Margin'!$E$41:$E$52,"&lt;&gt;Monthly"),0)))</f>
        <v/>
      </c>
      <c r="T100" s="7" t="str">
        <f aca="false">IF(T$5="","",IF('Cost Margin'!$B$13&lt;&gt;"Y",0,T$4*SUMIFS('Cost Margin'!$D$41:$D$52,'Cost Margin'!$E$41:$E$52,"Monthly")+IF(17=0,SUMIFS('Cost Margin'!$D$41:$D$52,'Cost Margin'!$E$41:$E$52,"&lt;&gt;Monthly"),0)))</f>
        <v/>
      </c>
      <c r="U100" s="7" t="str">
        <f aca="false">IF(U$5="","",IF('Cost Margin'!$B$13&lt;&gt;"Y",0,U$4*SUMIFS('Cost Margin'!$D$41:$D$52,'Cost Margin'!$E$41:$E$52,"Monthly")+IF(18=0,SUMIFS('Cost Margin'!$D$41:$D$52,'Cost Margin'!$E$41:$E$52,"&lt;&gt;Monthly"),0)))</f>
        <v/>
      </c>
      <c r="V100" s="7" t="str">
        <f aca="false">IF(V$5="","",IF('Cost Margin'!$B$13&lt;&gt;"Y",0,V$4*SUMIFS('Cost Margin'!$D$41:$D$52,'Cost Margin'!$E$41:$E$52,"Monthly")+IF(19=0,SUMIFS('Cost Margin'!$D$41:$D$52,'Cost Margin'!$E$41:$E$52,"&lt;&gt;Monthly"),0)))</f>
        <v/>
      </c>
      <c r="W100" s="7" t="str">
        <f aca="false">IF(W$5="","",IF('Cost Margin'!$B$13&lt;&gt;"Y",0,W$4*SUMIFS('Cost Margin'!$D$41:$D$52,'Cost Margin'!$E$41:$E$52,"Monthly")+IF(20=0,SUMIFS('Cost Margin'!$D$41:$D$52,'Cost Margin'!$E$41:$E$52,"&lt;&gt;Monthly"),0)))</f>
        <v/>
      </c>
      <c r="X100" s="7" t="str">
        <f aca="false">IF(X$5="","",IF('Cost Margin'!$B$13&lt;&gt;"Y",0,X$4*SUMIFS('Cost Margin'!$D$41:$D$52,'Cost Margin'!$E$41:$E$52,"Monthly")+IF(21=0,SUMIFS('Cost Margin'!$D$41:$D$52,'Cost Margin'!$E$41:$E$52,"&lt;&gt;Monthly"),0)))</f>
        <v/>
      </c>
      <c r="Y100" s="7" t="str">
        <f aca="false">IF(Y$5="","",IF('Cost Margin'!$B$13&lt;&gt;"Y",0,Y$4*SUMIFS('Cost Margin'!$D$41:$D$52,'Cost Margin'!$E$41:$E$52,"Monthly")+IF(22=0,SUMIFS('Cost Margin'!$D$41:$D$52,'Cost Margin'!$E$41:$E$52,"&lt;&gt;Monthly"),0)))</f>
        <v/>
      </c>
      <c r="Z100" s="7" t="str">
        <f aca="false">IF(Z$5="","",IF('Cost Margin'!$B$13&lt;&gt;"Y",0,Z$4*SUMIFS('Cost Margin'!$D$41:$D$52,'Cost Margin'!$E$41:$E$52,"Monthly")+IF(23=0,SUMIFS('Cost Margin'!$D$41:$D$52,'Cost Margin'!$E$41:$E$52,"&lt;&gt;Monthly"),0)))</f>
        <v/>
      </c>
      <c r="AA100" s="25" t="n">
        <f aca="false">SUM(C100:Z100)</f>
        <v>0</v>
      </c>
    </row>
    <row r="101" customFormat="false" ht="15" hidden="false" customHeight="false" outlineLevel="0" collapsed="false">
      <c r="B101" s="3" t="s">
        <v>23</v>
      </c>
      <c r="C101" s="38" t="str">
        <f aca="false">IF(C$5="","",C99+C100)</f>
        <v/>
      </c>
      <c r="D101" s="38" t="str">
        <f aca="false">IF(D$5="","",D99+D100)</f>
        <v/>
      </c>
      <c r="E101" s="38" t="str">
        <f aca="false">IF(E$5="","",E99+E100)</f>
        <v/>
      </c>
      <c r="F101" s="38" t="str">
        <f aca="false">IF(F$5="","",F99+F100)</f>
        <v/>
      </c>
      <c r="G101" s="38" t="str">
        <f aca="false">IF(G$5="","",G99+G100)</f>
        <v/>
      </c>
      <c r="H101" s="38" t="str">
        <f aca="false">IF(H$5="","",H99+H100)</f>
        <v/>
      </c>
      <c r="I101" s="38" t="str">
        <f aca="false">IF(I$5="","",I99+I100)</f>
        <v/>
      </c>
      <c r="J101" s="38" t="str">
        <f aca="false">IF(J$5="","",J99+J100)</f>
        <v/>
      </c>
      <c r="K101" s="38" t="str">
        <f aca="false">IF(K$5="","",K99+K100)</f>
        <v/>
      </c>
      <c r="L101" s="38" t="str">
        <f aca="false">IF(L$5="","",L99+L100)</f>
        <v/>
      </c>
      <c r="M101" s="38" t="str">
        <f aca="false">IF(M$5="","",M99+M100)</f>
        <v/>
      </c>
      <c r="N101" s="38" t="str">
        <f aca="false">IF(N$5="","",N99+N100)</f>
        <v/>
      </c>
      <c r="O101" s="38" t="str">
        <f aca="false">IF(O$5="","",O99+O100)</f>
        <v/>
      </c>
      <c r="P101" s="38" t="str">
        <f aca="false">IF(P$5="","",P99+P100)</f>
        <v/>
      </c>
      <c r="Q101" s="38" t="str">
        <f aca="false">IF(Q$5="","",Q99+Q100)</f>
        <v/>
      </c>
      <c r="R101" s="38" t="str">
        <f aca="false">IF(R$5="","",R99+R100)</f>
        <v/>
      </c>
      <c r="S101" s="38" t="str">
        <f aca="false">IF(S$5="","",S99+S100)</f>
        <v/>
      </c>
      <c r="T101" s="38" t="str">
        <f aca="false">IF(T$5="","",T99+T100)</f>
        <v/>
      </c>
      <c r="U101" s="38" t="str">
        <f aca="false">IF(U$5="","",U99+U100)</f>
        <v/>
      </c>
      <c r="V101" s="38" t="str">
        <f aca="false">IF(V$5="","",V99+V100)</f>
        <v/>
      </c>
      <c r="W101" s="38" t="str">
        <f aca="false">IF(W$5="","",W99+W100)</f>
        <v/>
      </c>
      <c r="X101" s="38" t="str">
        <f aca="false">IF(X$5="","",X99+X100)</f>
        <v/>
      </c>
      <c r="Y101" s="38" t="str">
        <f aca="false">IF(Y$5="","",Y99+Y100)</f>
        <v/>
      </c>
      <c r="Z101" s="38" t="str">
        <f aca="false">IF(Z$5="","",Z99+Z100)</f>
        <v/>
      </c>
      <c r="AA101" s="25" t="n">
        <f aca="false">SUM(C101:Z101)</f>
        <v>0</v>
      </c>
    </row>
    <row r="102" customFormat="false" ht="15" hidden="false" customHeight="false" outlineLevel="0" collapsed="false">
      <c r="B102" s="3" t="s">
        <v>151</v>
      </c>
      <c r="C102" s="38" t="str">
        <f aca="false">IF(C$5="","",IF('Cost Margin'!$B$4="MSP",IF('Cost Margin'!$B$12="",0,'Cost Margin'!$B$12*C$4),IF(OR('Cost Margin'!$B$4="Time &amp; materials",'Cost Margin'!$B$4="Staff augmentation"),SUM(C53:C72),IF(OR('Cost Margin'!$B$11="",'Cost Margin'!$B$10=""),0,'Cost Margin'!$B$11*C$4/'Cost Margin'!$B$10)))+IF('Cost Margin'!$B$13&lt;&gt;"Y",0,C$4*SUMIFS('Cost Margin'!$D$41:$D$52,'Cost Margin'!$E$41:$E$52,"Monthly",'Cost Margin'!$F$41:$F$52,"Y")+IF(0=0,SUMIFS('Cost Margin'!$D$41:$D$52,'Cost Margin'!$E$41:$E$52,"&lt;&gt;Monthly",'Cost Margin'!$F$41:$F$52,"Y"),0)))</f>
        <v/>
      </c>
      <c r="D102" s="38" t="str">
        <f aca="false">IF(D$5="","",IF('Cost Margin'!$B$4="MSP",IF('Cost Margin'!$B$12="",0,'Cost Margin'!$B$12*D$4),IF(OR('Cost Margin'!$B$4="Time &amp; materials",'Cost Margin'!$B$4="Staff augmentation"),SUM(D53:D72),IF(OR('Cost Margin'!$B$11="",'Cost Margin'!$B$10=""),0,'Cost Margin'!$B$11*D$4/'Cost Margin'!$B$10)))+IF('Cost Margin'!$B$13&lt;&gt;"Y",0,D$4*SUMIFS('Cost Margin'!$D$41:$D$52,'Cost Margin'!$E$41:$E$52,"Monthly",'Cost Margin'!$F$41:$F$52,"Y")+IF(1=0,SUMIFS('Cost Margin'!$D$41:$D$52,'Cost Margin'!$E$41:$E$52,"&lt;&gt;Monthly",'Cost Margin'!$F$41:$F$52,"Y"),0)))</f>
        <v/>
      </c>
      <c r="E102" s="38" t="str">
        <f aca="false">IF(E$5="","",IF('Cost Margin'!$B$4="MSP",IF('Cost Margin'!$B$12="",0,'Cost Margin'!$B$12*E$4),IF(OR('Cost Margin'!$B$4="Time &amp; materials",'Cost Margin'!$B$4="Staff augmentation"),SUM(E53:E72),IF(OR('Cost Margin'!$B$11="",'Cost Margin'!$B$10=""),0,'Cost Margin'!$B$11*E$4/'Cost Margin'!$B$10)))+IF('Cost Margin'!$B$13&lt;&gt;"Y",0,E$4*SUMIFS('Cost Margin'!$D$41:$D$52,'Cost Margin'!$E$41:$E$52,"Monthly",'Cost Margin'!$F$41:$F$52,"Y")+IF(2=0,SUMIFS('Cost Margin'!$D$41:$D$52,'Cost Margin'!$E$41:$E$52,"&lt;&gt;Monthly",'Cost Margin'!$F$41:$F$52,"Y"),0)))</f>
        <v/>
      </c>
      <c r="F102" s="38" t="str">
        <f aca="false">IF(F$5="","",IF('Cost Margin'!$B$4="MSP",IF('Cost Margin'!$B$12="",0,'Cost Margin'!$B$12*F$4),IF(OR('Cost Margin'!$B$4="Time &amp; materials",'Cost Margin'!$B$4="Staff augmentation"),SUM(F53:F72),IF(OR('Cost Margin'!$B$11="",'Cost Margin'!$B$10=""),0,'Cost Margin'!$B$11*F$4/'Cost Margin'!$B$10)))+IF('Cost Margin'!$B$13&lt;&gt;"Y",0,F$4*SUMIFS('Cost Margin'!$D$41:$D$52,'Cost Margin'!$E$41:$E$52,"Monthly",'Cost Margin'!$F$41:$F$52,"Y")+IF(3=0,SUMIFS('Cost Margin'!$D$41:$D$52,'Cost Margin'!$E$41:$E$52,"&lt;&gt;Monthly",'Cost Margin'!$F$41:$F$52,"Y"),0)))</f>
        <v/>
      </c>
      <c r="G102" s="38" t="str">
        <f aca="false">IF(G$5="","",IF('Cost Margin'!$B$4="MSP",IF('Cost Margin'!$B$12="",0,'Cost Margin'!$B$12*G$4),IF(OR('Cost Margin'!$B$4="Time &amp; materials",'Cost Margin'!$B$4="Staff augmentation"),SUM(G53:G72),IF(OR('Cost Margin'!$B$11="",'Cost Margin'!$B$10=""),0,'Cost Margin'!$B$11*G$4/'Cost Margin'!$B$10)))+IF('Cost Margin'!$B$13&lt;&gt;"Y",0,G$4*SUMIFS('Cost Margin'!$D$41:$D$52,'Cost Margin'!$E$41:$E$52,"Monthly",'Cost Margin'!$F$41:$F$52,"Y")+IF(4=0,SUMIFS('Cost Margin'!$D$41:$D$52,'Cost Margin'!$E$41:$E$52,"&lt;&gt;Monthly",'Cost Margin'!$F$41:$F$52,"Y"),0)))</f>
        <v/>
      </c>
      <c r="H102" s="38" t="str">
        <f aca="false">IF(H$5="","",IF('Cost Margin'!$B$4="MSP",IF('Cost Margin'!$B$12="",0,'Cost Margin'!$B$12*H$4),IF(OR('Cost Margin'!$B$4="Time &amp; materials",'Cost Margin'!$B$4="Staff augmentation"),SUM(H53:H72),IF(OR('Cost Margin'!$B$11="",'Cost Margin'!$B$10=""),0,'Cost Margin'!$B$11*H$4/'Cost Margin'!$B$10)))+IF('Cost Margin'!$B$13&lt;&gt;"Y",0,H$4*SUMIFS('Cost Margin'!$D$41:$D$52,'Cost Margin'!$E$41:$E$52,"Monthly",'Cost Margin'!$F$41:$F$52,"Y")+IF(5=0,SUMIFS('Cost Margin'!$D$41:$D$52,'Cost Margin'!$E$41:$E$52,"&lt;&gt;Monthly",'Cost Margin'!$F$41:$F$52,"Y"),0)))</f>
        <v/>
      </c>
      <c r="I102" s="38" t="str">
        <f aca="false">IF(I$5="","",IF('Cost Margin'!$B$4="MSP",IF('Cost Margin'!$B$12="",0,'Cost Margin'!$B$12*I$4),IF(OR('Cost Margin'!$B$4="Time &amp; materials",'Cost Margin'!$B$4="Staff augmentation"),SUM(I53:I72),IF(OR('Cost Margin'!$B$11="",'Cost Margin'!$B$10=""),0,'Cost Margin'!$B$11*I$4/'Cost Margin'!$B$10)))+IF('Cost Margin'!$B$13&lt;&gt;"Y",0,I$4*SUMIFS('Cost Margin'!$D$41:$D$52,'Cost Margin'!$E$41:$E$52,"Monthly",'Cost Margin'!$F$41:$F$52,"Y")+IF(6=0,SUMIFS('Cost Margin'!$D$41:$D$52,'Cost Margin'!$E$41:$E$52,"&lt;&gt;Monthly",'Cost Margin'!$F$41:$F$52,"Y"),0)))</f>
        <v/>
      </c>
      <c r="J102" s="38" t="str">
        <f aca="false">IF(J$5="","",IF('Cost Margin'!$B$4="MSP",IF('Cost Margin'!$B$12="",0,'Cost Margin'!$B$12*J$4),IF(OR('Cost Margin'!$B$4="Time &amp; materials",'Cost Margin'!$B$4="Staff augmentation"),SUM(J53:J72),IF(OR('Cost Margin'!$B$11="",'Cost Margin'!$B$10=""),0,'Cost Margin'!$B$11*J$4/'Cost Margin'!$B$10)))+IF('Cost Margin'!$B$13&lt;&gt;"Y",0,J$4*SUMIFS('Cost Margin'!$D$41:$D$52,'Cost Margin'!$E$41:$E$52,"Monthly",'Cost Margin'!$F$41:$F$52,"Y")+IF(7=0,SUMIFS('Cost Margin'!$D$41:$D$52,'Cost Margin'!$E$41:$E$52,"&lt;&gt;Monthly",'Cost Margin'!$F$41:$F$52,"Y"),0)))</f>
        <v/>
      </c>
      <c r="K102" s="38" t="str">
        <f aca="false">IF(K$5="","",IF('Cost Margin'!$B$4="MSP",IF('Cost Margin'!$B$12="",0,'Cost Margin'!$B$12*K$4),IF(OR('Cost Margin'!$B$4="Time &amp; materials",'Cost Margin'!$B$4="Staff augmentation"),SUM(K53:K72),IF(OR('Cost Margin'!$B$11="",'Cost Margin'!$B$10=""),0,'Cost Margin'!$B$11*K$4/'Cost Margin'!$B$10)))+IF('Cost Margin'!$B$13&lt;&gt;"Y",0,K$4*SUMIFS('Cost Margin'!$D$41:$D$52,'Cost Margin'!$E$41:$E$52,"Monthly",'Cost Margin'!$F$41:$F$52,"Y")+IF(8=0,SUMIFS('Cost Margin'!$D$41:$D$52,'Cost Margin'!$E$41:$E$52,"&lt;&gt;Monthly",'Cost Margin'!$F$41:$F$52,"Y"),0)))</f>
        <v/>
      </c>
      <c r="L102" s="38" t="str">
        <f aca="false">IF(L$5="","",IF('Cost Margin'!$B$4="MSP",IF('Cost Margin'!$B$12="",0,'Cost Margin'!$B$12*L$4),IF(OR('Cost Margin'!$B$4="Time &amp; materials",'Cost Margin'!$B$4="Staff augmentation"),SUM(L53:L72),IF(OR('Cost Margin'!$B$11="",'Cost Margin'!$B$10=""),0,'Cost Margin'!$B$11*L$4/'Cost Margin'!$B$10)))+IF('Cost Margin'!$B$13&lt;&gt;"Y",0,L$4*SUMIFS('Cost Margin'!$D$41:$D$52,'Cost Margin'!$E$41:$E$52,"Monthly",'Cost Margin'!$F$41:$F$52,"Y")+IF(9=0,SUMIFS('Cost Margin'!$D$41:$D$52,'Cost Margin'!$E$41:$E$52,"&lt;&gt;Monthly",'Cost Margin'!$F$41:$F$52,"Y"),0)))</f>
        <v/>
      </c>
      <c r="M102" s="38" t="str">
        <f aca="false">IF(M$5="","",IF('Cost Margin'!$B$4="MSP",IF('Cost Margin'!$B$12="",0,'Cost Margin'!$B$12*M$4),IF(OR('Cost Margin'!$B$4="Time &amp; materials",'Cost Margin'!$B$4="Staff augmentation"),SUM(M53:M72),IF(OR('Cost Margin'!$B$11="",'Cost Margin'!$B$10=""),0,'Cost Margin'!$B$11*M$4/'Cost Margin'!$B$10)))+IF('Cost Margin'!$B$13&lt;&gt;"Y",0,M$4*SUMIFS('Cost Margin'!$D$41:$D$52,'Cost Margin'!$E$41:$E$52,"Monthly",'Cost Margin'!$F$41:$F$52,"Y")+IF(10=0,SUMIFS('Cost Margin'!$D$41:$D$52,'Cost Margin'!$E$41:$E$52,"&lt;&gt;Monthly",'Cost Margin'!$F$41:$F$52,"Y"),0)))</f>
        <v/>
      </c>
      <c r="N102" s="38" t="str">
        <f aca="false">IF(N$5="","",IF('Cost Margin'!$B$4="MSP",IF('Cost Margin'!$B$12="",0,'Cost Margin'!$B$12*N$4),IF(OR('Cost Margin'!$B$4="Time &amp; materials",'Cost Margin'!$B$4="Staff augmentation"),SUM(N53:N72),IF(OR('Cost Margin'!$B$11="",'Cost Margin'!$B$10=""),0,'Cost Margin'!$B$11*N$4/'Cost Margin'!$B$10)))+IF('Cost Margin'!$B$13&lt;&gt;"Y",0,N$4*SUMIFS('Cost Margin'!$D$41:$D$52,'Cost Margin'!$E$41:$E$52,"Monthly",'Cost Margin'!$F$41:$F$52,"Y")+IF(11=0,SUMIFS('Cost Margin'!$D$41:$D$52,'Cost Margin'!$E$41:$E$52,"&lt;&gt;Monthly",'Cost Margin'!$F$41:$F$52,"Y"),0)))</f>
        <v/>
      </c>
      <c r="O102" s="38" t="str">
        <f aca="false">IF(O$5="","",IF('Cost Margin'!$B$4="MSP",IF('Cost Margin'!$B$12="",0,'Cost Margin'!$B$12*O$4),IF(OR('Cost Margin'!$B$4="Time &amp; materials",'Cost Margin'!$B$4="Staff augmentation"),SUM(O53:O72),IF(OR('Cost Margin'!$B$11="",'Cost Margin'!$B$10=""),0,'Cost Margin'!$B$11*O$4/'Cost Margin'!$B$10)))+IF('Cost Margin'!$B$13&lt;&gt;"Y",0,O$4*SUMIFS('Cost Margin'!$D$41:$D$52,'Cost Margin'!$E$41:$E$52,"Monthly",'Cost Margin'!$F$41:$F$52,"Y")+IF(12=0,SUMIFS('Cost Margin'!$D$41:$D$52,'Cost Margin'!$E$41:$E$52,"&lt;&gt;Monthly",'Cost Margin'!$F$41:$F$52,"Y"),0)))</f>
        <v/>
      </c>
      <c r="P102" s="38" t="str">
        <f aca="false">IF(P$5="","",IF('Cost Margin'!$B$4="MSP",IF('Cost Margin'!$B$12="",0,'Cost Margin'!$B$12*P$4),IF(OR('Cost Margin'!$B$4="Time &amp; materials",'Cost Margin'!$B$4="Staff augmentation"),SUM(P53:P72),IF(OR('Cost Margin'!$B$11="",'Cost Margin'!$B$10=""),0,'Cost Margin'!$B$11*P$4/'Cost Margin'!$B$10)))+IF('Cost Margin'!$B$13&lt;&gt;"Y",0,P$4*SUMIFS('Cost Margin'!$D$41:$D$52,'Cost Margin'!$E$41:$E$52,"Monthly",'Cost Margin'!$F$41:$F$52,"Y")+IF(13=0,SUMIFS('Cost Margin'!$D$41:$D$52,'Cost Margin'!$E$41:$E$52,"&lt;&gt;Monthly",'Cost Margin'!$F$41:$F$52,"Y"),0)))</f>
        <v/>
      </c>
      <c r="Q102" s="38" t="str">
        <f aca="false">IF(Q$5="","",IF('Cost Margin'!$B$4="MSP",IF('Cost Margin'!$B$12="",0,'Cost Margin'!$B$12*Q$4),IF(OR('Cost Margin'!$B$4="Time &amp; materials",'Cost Margin'!$B$4="Staff augmentation"),SUM(Q53:Q72),IF(OR('Cost Margin'!$B$11="",'Cost Margin'!$B$10=""),0,'Cost Margin'!$B$11*Q$4/'Cost Margin'!$B$10)))+IF('Cost Margin'!$B$13&lt;&gt;"Y",0,Q$4*SUMIFS('Cost Margin'!$D$41:$D$52,'Cost Margin'!$E$41:$E$52,"Monthly",'Cost Margin'!$F$41:$F$52,"Y")+IF(14=0,SUMIFS('Cost Margin'!$D$41:$D$52,'Cost Margin'!$E$41:$E$52,"&lt;&gt;Monthly",'Cost Margin'!$F$41:$F$52,"Y"),0)))</f>
        <v/>
      </c>
      <c r="R102" s="38" t="str">
        <f aca="false">IF(R$5="","",IF('Cost Margin'!$B$4="MSP",IF('Cost Margin'!$B$12="",0,'Cost Margin'!$B$12*R$4),IF(OR('Cost Margin'!$B$4="Time &amp; materials",'Cost Margin'!$B$4="Staff augmentation"),SUM(R53:R72),IF(OR('Cost Margin'!$B$11="",'Cost Margin'!$B$10=""),0,'Cost Margin'!$B$11*R$4/'Cost Margin'!$B$10)))+IF('Cost Margin'!$B$13&lt;&gt;"Y",0,R$4*SUMIFS('Cost Margin'!$D$41:$D$52,'Cost Margin'!$E$41:$E$52,"Monthly",'Cost Margin'!$F$41:$F$52,"Y")+IF(15=0,SUMIFS('Cost Margin'!$D$41:$D$52,'Cost Margin'!$E$41:$E$52,"&lt;&gt;Monthly",'Cost Margin'!$F$41:$F$52,"Y"),0)))</f>
        <v/>
      </c>
      <c r="S102" s="38" t="str">
        <f aca="false">IF(S$5="","",IF('Cost Margin'!$B$4="MSP",IF('Cost Margin'!$B$12="",0,'Cost Margin'!$B$12*S$4),IF(OR('Cost Margin'!$B$4="Time &amp; materials",'Cost Margin'!$B$4="Staff augmentation"),SUM(S53:S72),IF(OR('Cost Margin'!$B$11="",'Cost Margin'!$B$10=""),0,'Cost Margin'!$B$11*S$4/'Cost Margin'!$B$10)))+IF('Cost Margin'!$B$13&lt;&gt;"Y",0,S$4*SUMIFS('Cost Margin'!$D$41:$D$52,'Cost Margin'!$E$41:$E$52,"Monthly",'Cost Margin'!$F$41:$F$52,"Y")+IF(16=0,SUMIFS('Cost Margin'!$D$41:$D$52,'Cost Margin'!$E$41:$E$52,"&lt;&gt;Monthly",'Cost Margin'!$F$41:$F$52,"Y"),0)))</f>
        <v/>
      </c>
      <c r="T102" s="38" t="str">
        <f aca="false">IF(T$5="","",IF('Cost Margin'!$B$4="MSP",IF('Cost Margin'!$B$12="",0,'Cost Margin'!$B$12*T$4),IF(OR('Cost Margin'!$B$4="Time &amp; materials",'Cost Margin'!$B$4="Staff augmentation"),SUM(T53:T72),IF(OR('Cost Margin'!$B$11="",'Cost Margin'!$B$10=""),0,'Cost Margin'!$B$11*T$4/'Cost Margin'!$B$10)))+IF('Cost Margin'!$B$13&lt;&gt;"Y",0,T$4*SUMIFS('Cost Margin'!$D$41:$D$52,'Cost Margin'!$E$41:$E$52,"Monthly",'Cost Margin'!$F$41:$F$52,"Y")+IF(17=0,SUMIFS('Cost Margin'!$D$41:$D$52,'Cost Margin'!$E$41:$E$52,"&lt;&gt;Monthly",'Cost Margin'!$F$41:$F$52,"Y"),0)))</f>
        <v/>
      </c>
      <c r="U102" s="38" t="str">
        <f aca="false">IF(U$5="","",IF('Cost Margin'!$B$4="MSP",IF('Cost Margin'!$B$12="",0,'Cost Margin'!$B$12*U$4),IF(OR('Cost Margin'!$B$4="Time &amp; materials",'Cost Margin'!$B$4="Staff augmentation"),SUM(U53:U72),IF(OR('Cost Margin'!$B$11="",'Cost Margin'!$B$10=""),0,'Cost Margin'!$B$11*U$4/'Cost Margin'!$B$10)))+IF('Cost Margin'!$B$13&lt;&gt;"Y",0,U$4*SUMIFS('Cost Margin'!$D$41:$D$52,'Cost Margin'!$E$41:$E$52,"Monthly",'Cost Margin'!$F$41:$F$52,"Y")+IF(18=0,SUMIFS('Cost Margin'!$D$41:$D$52,'Cost Margin'!$E$41:$E$52,"&lt;&gt;Monthly",'Cost Margin'!$F$41:$F$52,"Y"),0)))</f>
        <v/>
      </c>
      <c r="V102" s="38" t="str">
        <f aca="false">IF(V$5="","",IF('Cost Margin'!$B$4="MSP",IF('Cost Margin'!$B$12="",0,'Cost Margin'!$B$12*V$4),IF(OR('Cost Margin'!$B$4="Time &amp; materials",'Cost Margin'!$B$4="Staff augmentation"),SUM(V53:V72),IF(OR('Cost Margin'!$B$11="",'Cost Margin'!$B$10=""),0,'Cost Margin'!$B$11*V$4/'Cost Margin'!$B$10)))+IF('Cost Margin'!$B$13&lt;&gt;"Y",0,V$4*SUMIFS('Cost Margin'!$D$41:$D$52,'Cost Margin'!$E$41:$E$52,"Monthly",'Cost Margin'!$F$41:$F$52,"Y")+IF(19=0,SUMIFS('Cost Margin'!$D$41:$D$52,'Cost Margin'!$E$41:$E$52,"&lt;&gt;Monthly",'Cost Margin'!$F$41:$F$52,"Y"),0)))</f>
        <v/>
      </c>
      <c r="W102" s="38" t="str">
        <f aca="false">IF(W$5="","",IF('Cost Margin'!$B$4="MSP",IF('Cost Margin'!$B$12="",0,'Cost Margin'!$B$12*W$4),IF(OR('Cost Margin'!$B$4="Time &amp; materials",'Cost Margin'!$B$4="Staff augmentation"),SUM(W53:W72),IF(OR('Cost Margin'!$B$11="",'Cost Margin'!$B$10=""),0,'Cost Margin'!$B$11*W$4/'Cost Margin'!$B$10)))+IF('Cost Margin'!$B$13&lt;&gt;"Y",0,W$4*SUMIFS('Cost Margin'!$D$41:$D$52,'Cost Margin'!$E$41:$E$52,"Monthly",'Cost Margin'!$F$41:$F$52,"Y")+IF(20=0,SUMIFS('Cost Margin'!$D$41:$D$52,'Cost Margin'!$E$41:$E$52,"&lt;&gt;Monthly",'Cost Margin'!$F$41:$F$52,"Y"),0)))</f>
        <v/>
      </c>
      <c r="X102" s="38" t="str">
        <f aca="false">IF(X$5="","",IF('Cost Margin'!$B$4="MSP",IF('Cost Margin'!$B$12="",0,'Cost Margin'!$B$12*X$4),IF(OR('Cost Margin'!$B$4="Time &amp; materials",'Cost Margin'!$B$4="Staff augmentation"),SUM(X53:X72),IF(OR('Cost Margin'!$B$11="",'Cost Margin'!$B$10=""),0,'Cost Margin'!$B$11*X$4/'Cost Margin'!$B$10)))+IF('Cost Margin'!$B$13&lt;&gt;"Y",0,X$4*SUMIFS('Cost Margin'!$D$41:$D$52,'Cost Margin'!$E$41:$E$52,"Monthly",'Cost Margin'!$F$41:$F$52,"Y")+IF(21=0,SUMIFS('Cost Margin'!$D$41:$D$52,'Cost Margin'!$E$41:$E$52,"&lt;&gt;Monthly",'Cost Margin'!$F$41:$F$52,"Y"),0)))</f>
        <v/>
      </c>
      <c r="Y102" s="38" t="str">
        <f aca="false">IF(Y$5="","",IF('Cost Margin'!$B$4="MSP",IF('Cost Margin'!$B$12="",0,'Cost Margin'!$B$12*Y$4),IF(OR('Cost Margin'!$B$4="Time &amp; materials",'Cost Margin'!$B$4="Staff augmentation"),SUM(Y53:Y72),IF(OR('Cost Margin'!$B$11="",'Cost Margin'!$B$10=""),0,'Cost Margin'!$B$11*Y$4/'Cost Margin'!$B$10)))+IF('Cost Margin'!$B$13&lt;&gt;"Y",0,Y$4*SUMIFS('Cost Margin'!$D$41:$D$52,'Cost Margin'!$E$41:$E$52,"Monthly",'Cost Margin'!$F$41:$F$52,"Y")+IF(22=0,SUMIFS('Cost Margin'!$D$41:$D$52,'Cost Margin'!$E$41:$E$52,"&lt;&gt;Monthly",'Cost Margin'!$F$41:$F$52,"Y"),0)))</f>
        <v/>
      </c>
      <c r="Z102" s="38" t="str">
        <f aca="false">IF(Z$5="","",IF('Cost Margin'!$B$4="MSP",IF('Cost Margin'!$B$12="",0,'Cost Margin'!$B$12*Z$4),IF(OR('Cost Margin'!$B$4="Time &amp; materials",'Cost Margin'!$B$4="Staff augmentation"),SUM(Z53:Z72),IF(OR('Cost Margin'!$B$11="",'Cost Margin'!$B$10=""),0,'Cost Margin'!$B$11*Z$4/'Cost Margin'!$B$10)))+IF('Cost Margin'!$B$13&lt;&gt;"Y",0,Z$4*SUMIFS('Cost Margin'!$D$41:$D$52,'Cost Margin'!$E$41:$E$52,"Monthly",'Cost Margin'!$F$41:$F$52,"Y")+IF(23=0,SUMIFS('Cost Margin'!$D$41:$D$52,'Cost Margin'!$E$41:$E$52,"&lt;&gt;Monthly",'Cost Margin'!$F$41:$F$52,"Y"),0)))</f>
        <v/>
      </c>
      <c r="AA102" s="25" t="n">
        <f aca="false">SUM(C102:Z102)</f>
        <v>0</v>
      </c>
    </row>
    <row r="103" customFormat="false" ht="15" hidden="false" customHeight="false" outlineLevel="0" collapsed="false">
      <c r="B103" s="3" t="s">
        <v>25</v>
      </c>
      <c r="C103" s="38" t="str">
        <f aca="false">IF(C$5="","",C102-C101)</f>
        <v/>
      </c>
      <c r="D103" s="38" t="str">
        <f aca="false">IF(D$5="","",D102-D101)</f>
        <v/>
      </c>
      <c r="E103" s="38" t="str">
        <f aca="false">IF(E$5="","",E102-E101)</f>
        <v/>
      </c>
      <c r="F103" s="38" t="str">
        <f aca="false">IF(F$5="","",F102-F101)</f>
        <v/>
      </c>
      <c r="G103" s="38" t="str">
        <f aca="false">IF(G$5="","",G102-G101)</f>
        <v/>
      </c>
      <c r="H103" s="38" t="str">
        <f aca="false">IF(H$5="","",H102-H101)</f>
        <v/>
      </c>
      <c r="I103" s="38" t="str">
        <f aca="false">IF(I$5="","",I102-I101)</f>
        <v/>
      </c>
      <c r="J103" s="38" t="str">
        <f aca="false">IF(J$5="","",J102-J101)</f>
        <v/>
      </c>
      <c r="K103" s="38" t="str">
        <f aca="false">IF(K$5="","",K102-K101)</f>
        <v/>
      </c>
      <c r="L103" s="38" t="str">
        <f aca="false">IF(L$5="","",L102-L101)</f>
        <v/>
      </c>
      <c r="M103" s="38" t="str">
        <f aca="false">IF(M$5="","",M102-M101)</f>
        <v/>
      </c>
      <c r="N103" s="38" t="str">
        <f aca="false">IF(N$5="","",N102-N101)</f>
        <v/>
      </c>
      <c r="O103" s="38" t="str">
        <f aca="false">IF(O$5="","",O102-O101)</f>
        <v/>
      </c>
      <c r="P103" s="38" t="str">
        <f aca="false">IF(P$5="","",P102-P101)</f>
        <v/>
      </c>
      <c r="Q103" s="38" t="str">
        <f aca="false">IF(Q$5="","",Q102-Q101)</f>
        <v/>
      </c>
      <c r="R103" s="38" t="str">
        <f aca="false">IF(R$5="","",R102-R101)</f>
        <v/>
      </c>
      <c r="S103" s="38" t="str">
        <f aca="false">IF(S$5="","",S102-S101)</f>
        <v/>
      </c>
      <c r="T103" s="38" t="str">
        <f aca="false">IF(T$5="","",T102-T101)</f>
        <v/>
      </c>
      <c r="U103" s="38" t="str">
        <f aca="false">IF(U$5="","",U102-U101)</f>
        <v/>
      </c>
      <c r="V103" s="38" t="str">
        <f aca="false">IF(V$5="","",V102-V101)</f>
        <v/>
      </c>
      <c r="W103" s="38" t="str">
        <f aca="false">IF(W$5="","",W102-W101)</f>
        <v/>
      </c>
      <c r="X103" s="38" t="str">
        <f aca="false">IF(X$5="","",X102-X101)</f>
        <v/>
      </c>
      <c r="Y103" s="38" t="str">
        <f aca="false">IF(Y$5="","",Y102-Y101)</f>
        <v/>
      </c>
      <c r="Z103" s="38" t="str">
        <f aca="false">IF(Z$5="","",Z102-Z101)</f>
        <v/>
      </c>
      <c r="AA103" s="25" t="n">
        <f aca="false">SUM(C103:Z103)</f>
        <v>0</v>
      </c>
    </row>
    <row r="104" customFormat="false" ht="15" hidden="false" customHeight="false" outlineLevel="0" collapsed="false">
      <c r="B104" s="3" t="s">
        <v>27</v>
      </c>
      <c r="C104" s="39" t="str">
        <f aca="false">IF(OR(C$5="",C102=0),"",C103/C102)</f>
        <v/>
      </c>
      <c r="D104" s="39" t="str">
        <f aca="false">IF(OR(D$5="",D102=0),"",D103/D102)</f>
        <v/>
      </c>
      <c r="E104" s="39" t="str">
        <f aca="false">IF(OR(E$5="",E102=0),"",E103/E102)</f>
        <v/>
      </c>
      <c r="F104" s="39" t="str">
        <f aca="false">IF(OR(F$5="",F102=0),"",F103/F102)</f>
        <v/>
      </c>
      <c r="G104" s="39" t="str">
        <f aca="false">IF(OR(G$5="",G102=0),"",G103/G102)</f>
        <v/>
      </c>
      <c r="H104" s="39" t="str">
        <f aca="false">IF(OR(H$5="",H102=0),"",H103/H102)</f>
        <v/>
      </c>
      <c r="I104" s="39" t="str">
        <f aca="false">IF(OR(I$5="",I102=0),"",I103/I102)</f>
        <v/>
      </c>
      <c r="J104" s="39" t="str">
        <f aca="false">IF(OR(J$5="",J102=0),"",J103/J102)</f>
        <v/>
      </c>
      <c r="K104" s="39" t="str">
        <f aca="false">IF(OR(K$5="",K102=0),"",K103/K102)</f>
        <v/>
      </c>
      <c r="L104" s="39" t="str">
        <f aca="false">IF(OR(L$5="",L102=0),"",L103/L102)</f>
        <v/>
      </c>
      <c r="M104" s="39" t="str">
        <f aca="false">IF(OR(M$5="",M102=0),"",M103/M102)</f>
        <v/>
      </c>
      <c r="N104" s="39" t="str">
        <f aca="false">IF(OR(N$5="",N102=0),"",N103/N102)</f>
        <v/>
      </c>
      <c r="O104" s="39" t="str">
        <f aca="false">IF(OR(O$5="",O102=0),"",O103/O102)</f>
        <v/>
      </c>
      <c r="P104" s="39" t="str">
        <f aca="false">IF(OR(P$5="",P102=0),"",P103/P102)</f>
        <v/>
      </c>
      <c r="Q104" s="39" t="str">
        <f aca="false">IF(OR(Q$5="",Q102=0),"",Q103/Q102)</f>
        <v/>
      </c>
      <c r="R104" s="39" t="str">
        <f aca="false">IF(OR(R$5="",R102=0),"",R103/R102)</f>
        <v/>
      </c>
      <c r="S104" s="39" t="str">
        <f aca="false">IF(OR(S$5="",S102=0),"",S103/S102)</f>
        <v/>
      </c>
      <c r="T104" s="39" t="str">
        <f aca="false">IF(OR(T$5="",T102=0),"",T103/T102)</f>
        <v/>
      </c>
      <c r="U104" s="39" t="str">
        <f aca="false">IF(OR(U$5="",U102=0),"",U103/U102)</f>
        <v/>
      </c>
      <c r="V104" s="39" t="str">
        <f aca="false">IF(OR(V$5="",V102=0),"",V103/V102)</f>
        <v/>
      </c>
      <c r="W104" s="39" t="str">
        <f aca="false">IF(OR(W$5="",W102=0),"",W103/W102)</f>
        <v/>
      </c>
      <c r="X104" s="39" t="str">
        <f aca="false">IF(OR(X$5="",X102=0),"",X103/X102)</f>
        <v/>
      </c>
      <c r="Y104" s="39" t="str">
        <f aca="false">IF(OR(Y$5="",Y102=0),"",Y103/Y102)</f>
        <v/>
      </c>
      <c r="Z104" s="39" t="str">
        <f aca="false">IF(OR(Z$5="",Z102=0),"",Z103/Z102)</f>
        <v/>
      </c>
      <c r="AA104" s="26" t="str">
        <f aca="false">IF(AA102=0,"",AA103/AA102)</f>
        <v/>
      </c>
    </row>
    <row r="106" customFormat="false" ht="15" hidden="false" customHeight="false" outlineLevel="0" collapsed="false">
      <c r="B106" s="2" t="s">
        <v>152</v>
      </c>
      <c r="C106" s="7" t="str">
        <f aca="false">IF('Cost Margin'!$W$8="","",AA102-'Cost Margin'!$W$8)</f>
        <v/>
      </c>
      <c r="D106" s="7" t="str">
        <f aca="false">IF('Cost Margin'!$W$8="","",AA101-'Cost Margin'!$W$12)</f>
        <v/>
      </c>
      <c r="E106" s="2" t="s">
        <v>153</v>
      </c>
    </row>
  </sheetData>
  <conditionalFormatting sqref="A4:AA107">
    <cfRule type="expression" priority="2" aboveAverage="0" equalAverage="0" bottom="0" percent="0" rank="0" text="" dxfId="1">
      <formula>OR('Cost Margin'!$B$10="",'Cost Margin'!$B$10&lt;=2)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27" min="3" style="0" width="11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3" s="32" t="str">
        <f aca="false">IF(NOT(OR('Cost Margin'!$B$4="Time &amp; materials",'Cost Margin'!$B$4="Staff augmentation")),"This engagement type is not forecast per assignment — see the Monthly tab.",IF('Cost Margin'!$B$10="","Fill engagement type and project dates on the Cost Margin tab.","Forecast window: "&amp;TEXT('Cost Margin'!$B$8,"mmm d, yyyy")&amp;" – "&amp;TEXT('Cost Margin'!$B$9,"mmm d, yyyy")&amp;"  ·  "&amp;TEXT('Cost Margin'!$B$10,"0.0")&amp;" months"))</f>
        <v>This engagement type is not forecast per assignment — see the Monthly tab.</v>
      </c>
    </row>
    <row r="5" customFormat="false" ht="15" hidden="false" customHeight="false" outlineLevel="0" collapsed="false">
      <c r="A5" s="13" t="s">
        <v>143</v>
      </c>
      <c r="B5" s="13" t="s">
        <v>156</v>
      </c>
      <c r="C5" s="13" t="str">
        <f aca="false">IF(Monthly!C5="","",TEXT(Monthly!C5,"mmm yyyy"))</f>
        <v/>
      </c>
      <c r="D5" s="13" t="str">
        <f aca="false">IF(Monthly!D5="","",TEXT(Monthly!D5,"mmm yyyy"))</f>
        <v/>
      </c>
      <c r="E5" s="13" t="str">
        <f aca="false">IF(Monthly!E5="","",TEXT(Monthly!E5,"mmm yyyy"))</f>
        <v/>
      </c>
      <c r="F5" s="13" t="str">
        <f aca="false">IF(Monthly!F5="","",TEXT(Monthly!F5,"mmm yyyy"))</f>
        <v/>
      </c>
      <c r="G5" s="13" t="str">
        <f aca="false">IF(Monthly!G5="","",TEXT(Monthly!G5,"mmm yyyy"))</f>
        <v/>
      </c>
      <c r="H5" s="13" t="str">
        <f aca="false">IF(Monthly!H5="","",TEXT(Monthly!H5,"mmm yyyy"))</f>
        <v/>
      </c>
      <c r="I5" s="13" t="str">
        <f aca="false">IF(Monthly!I5="","",TEXT(Monthly!I5,"mmm yyyy"))</f>
        <v/>
      </c>
      <c r="J5" s="13" t="str">
        <f aca="false">IF(Monthly!J5="","",TEXT(Monthly!J5,"mmm yyyy"))</f>
        <v/>
      </c>
      <c r="K5" s="13" t="str">
        <f aca="false">IF(Monthly!K5="","",TEXT(Monthly!K5,"mmm yyyy"))</f>
        <v/>
      </c>
      <c r="L5" s="13" t="str">
        <f aca="false">IF(Monthly!L5="","",TEXT(Monthly!L5,"mmm yyyy"))</f>
        <v/>
      </c>
      <c r="M5" s="13" t="str">
        <f aca="false">IF(Monthly!M5="","",TEXT(Monthly!M5,"mmm yyyy"))</f>
        <v/>
      </c>
      <c r="N5" s="13" t="str">
        <f aca="false">IF(Monthly!N5="","",TEXT(Monthly!N5,"mmm yyyy"))</f>
        <v/>
      </c>
      <c r="O5" s="13" t="str">
        <f aca="false">IF(Monthly!O5="","",TEXT(Monthly!O5,"mmm yyyy"))</f>
        <v/>
      </c>
      <c r="P5" s="13" t="str">
        <f aca="false">IF(Monthly!P5="","",TEXT(Monthly!P5,"mmm yyyy"))</f>
        <v/>
      </c>
      <c r="Q5" s="13" t="str">
        <f aca="false">IF(Monthly!Q5="","",TEXT(Monthly!Q5,"mmm yyyy"))</f>
        <v/>
      </c>
      <c r="R5" s="13" t="str">
        <f aca="false">IF(Monthly!R5="","",TEXT(Monthly!R5,"mmm yyyy"))</f>
        <v/>
      </c>
      <c r="S5" s="13" t="str">
        <f aca="false">IF(Monthly!S5="","",TEXT(Monthly!S5,"mmm yyyy"))</f>
        <v/>
      </c>
      <c r="T5" s="13" t="str">
        <f aca="false">IF(Monthly!T5="","",TEXT(Monthly!T5,"mmm yyyy"))</f>
        <v/>
      </c>
      <c r="U5" s="13" t="str">
        <f aca="false">IF(Monthly!U5="","",TEXT(Monthly!U5,"mmm yyyy"))</f>
        <v/>
      </c>
      <c r="V5" s="13" t="str">
        <f aca="false">IF(Monthly!V5="","",TEXT(Monthly!V5,"mmm yyyy"))</f>
        <v/>
      </c>
      <c r="W5" s="13" t="str">
        <f aca="false">IF(Monthly!W5="","",TEXT(Monthly!W5,"mmm yyyy"))</f>
        <v/>
      </c>
      <c r="X5" s="13" t="str">
        <f aca="false">IF(Monthly!X5="","",TEXT(Monthly!X5,"mmm yyyy"))</f>
        <v/>
      </c>
      <c r="Y5" s="13" t="str">
        <f aca="false">IF(Monthly!Y5="","",TEXT(Monthly!Y5,"mmm yyyy"))</f>
        <v/>
      </c>
      <c r="Z5" s="13" t="str">
        <f aca="false">IF(Monthly!Z5="","",TEXT(Monthly!Z5,"mmm yyyy"))</f>
        <v/>
      </c>
      <c r="AA5" s="13" t="s">
        <v>157</v>
      </c>
    </row>
    <row r="7" customFormat="false" ht="15" hidden="false" customHeight="false" outlineLevel="0" collapsed="false">
      <c r="A7" s="3" t="s">
        <v>158</v>
      </c>
      <c r="B7" s="36" t="s">
        <v>62</v>
      </c>
      <c r="C7" s="22" t="str">
        <f aca="false">IF(Monthly!C$5="","",Monthly!C97)</f>
        <v/>
      </c>
      <c r="D7" s="22" t="str">
        <f aca="false">IF(Monthly!D$5="","",Monthly!D97)</f>
        <v/>
      </c>
      <c r="E7" s="22" t="str">
        <f aca="false">IF(Monthly!E$5="","",Monthly!E97)</f>
        <v/>
      </c>
      <c r="F7" s="22" t="str">
        <f aca="false">IF(Monthly!F$5="","",Monthly!F97)</f>
        <v/>
      </c>
      <c r="G7" s="22" t="str">
        <f aca="false">IF(Monthly!G$5="","",Monthly!G97)</f>
        <v/>
      </c>
      <c r="H7" s="22" t="str">
        <f aca="false">IF(Monthly!H$5="","",Monthly!H97)</f>
        <v/>
      </c>
      <c r="I7" s="22" t="str">
        <f aca="false">IF(Monthly!I$5="","",Monthly!I97)</f>
        <v/>
      </c>
      <c r="J7" s="22" t="str">
        <f aca="false">IF(Monthly!J$5="","",Monthly!J97)</f>
        <v/>
      </c>
      <c r="K7" s="22" t="str">
        <f aca="false">IF(Monthly!K$5="","",Monthly!K97)</f>
        <v/>
      </c>
      <c r="L7" s="22" t="str">
        <f aca="false">IF(Monthly!L$5="","",Monthly!L97)</f>
        <v/>
      </c>
      <c r="M7" s="22" t="str">
        <f aca="false">IF(Monthly!M$5="","",Monthly!M97)</f>
        <v/>
      </c>
      <c r="N7" s="22" t="str">
        <f aca="false">IF(Monthly!N$5="","",Monthly!N97)</f>
        <v/>
      </c>
      <c r="O7" s="22" t="str">
        <f aca="false">IF(Monthly!O$5="","",Monthly!O97)</f>
        <v/>
      </c>
      <c r="P7" s="22" t="str">
        <f aca="false">IF(Monthly!P$5="","",Monthly!P97)</f>
        <v/>
      </c>
      <c r="Q7" s="22" t="str">
        <f aca="false">IF(Monthly!Q$5="","",Monthly!Q97)</f>
        <v/>
      </c>
      <c r="R7" s="22" t="str">
        <f aca="false">IF(Monthly!R$5="","",Monthly!R97)</f>
        <v/>
      </c>
      <c r="S7" s="22" t="str">
        <f aca="false">IF(Monthly!S$5="","",Monthly!S97)</f>
        <v/>
      </c>
      <c r="T7" s="22" t="str">
        <f aca="false">IF(Monthly!T$5="","",Monthly!T97)</f>
        <v/>
      </c>
      <c r="U7" s="22" t="str">
        <f aca="false">IF(Monthly!U$5="","",Monthly!U97)</f>
        <v/>
      </c>
      <c r="V7" s="22" t="str">
        <f aca="false">IF(Monthly!V$5="","",Monthly!V97)</f>
        <v/>
      </c>
      <c r="W7" s="22" t="str">
        <f aca="false">IF(Monthly!W$5="","",Monthly!W97)</f>
        <v/>
      </c>
      <c r="X7" s="22" t="str">
        <f aca="false">IF(Monthly!X$5="","",Monthly!X97)</f>
        <v/>
      </c>
      <c r="Y7" s="22" t="str">
        <f aca="false">IF(Monthly!Y$5="","",Monthly!Y97)</f>
        <v/>
      </c>
      <c r="Z7" s="22" t="str">
        <f aca="false">IF(Monthly!Z$5="","",Monthly!Z97)</f>
        <v/>
      </c>
      <c r="AA7" s="37" t="n">
        <f aca="false">MAX(C7:Z7)</f>
        <v>0</v>
      </c>
    </row>
    <row r="8" customFormat="false" ht="15" hidden="false" customHeight="false" outlineLevel="0" collapsed="false">
      <c r="B8" s="36" t="s">
        <v>149</v>
      </c>
      <c r="C8" s="35" t="str">
        <f aca="false">IF(Monthly!C$5="","",Monthly!C98)</f>
        <v/>
      </c>
      <c r="D8" s="35" t="str">
        <f aca="false">IF(Monthly!D$5="","",Monthly!D98)</f>
        <v/>
      </c>
      <c r="E8" s="35" t="str">
        <f aca="false">IF(Monthly!E$5="","",Monthly!E98)</f>
        <v/>
      </c>
      <c r="F8" s="35" t="str">
        <f aca="false">IF(Monthly!F$5="","",Monthly!F98)</f>
        <v/>
      </c>
      <c r="G8" s="35" t="str">
        <f aca="false">IF(Monthly!G$5="","",Monthly!G98)</f>
        <v/>
      </c>
      <c r="H8" s="35" t="str">
        <f aca="false">IF(Monthly!H$5="","",Monthly!H98)</f>
        <v/>
      </c>
      <c r="I8" s="35" t="str">
        <f aca="false">IF(Monthly!I$5="","",Monthly!I98)</f>
        <v/>
      </c>
      <c r="J8" s="35" t="str">
        <f aca="false">IF(Monthly!J$5="","",Monthly!J98)</f>
        <v/>
      </c>
      <c r="K8" s="35" t="str">
        <f aca="false">IF(Monthly!K$5="","",Monthly!K98)</f>
        <v/>
      </c>
      <c r="L8" s="35" t="str">
        <f aca="false">IF(Monthly!L$5="","",Monthly!L98)</f>
        <v/>
      </c>
      <c r="M8" s="35" t="str">
        <f aca="false">IF(Monthly!M$5="","",Monthly!M98)</f>
        <v/>
      </c>
      <c r="N8" s="35" t="str">
        <f aca="false">IF(Monthly!N$5="","",Monthly!N98)</f>
        <v/>
      </c>
      <c r="O8" s="35" t="str">
        <f aca="false">IF(Monthly!O$5="","",Monthly!O98)</f>
        <v/>
      </c>
      <c r="P8" s="35" t="str">
        <f aca="false">IF(Monthly!P$5="","",Monthly!P98)</f>
        <v/>
      </c>
      <c r="Q8" s="35" t="str">
        <f aca="false">IF(Monthly!Q$5="","",Monthly!Q98)</f>
        <v/>
      </c>
      <c r="R8" s="35" t="str">
        <f aca="false">IF(Monthly!R$5="","",Monthly!R98)</f>
        <v/>
      </c>
      <c r="S8" s="35" t="str">
        <f aca="false">IF(Monthly!S$5="","",Monthly!S98)</f>
        <v/>
      </c>
      <c r="T8" s="35" t="str">
        <f aca="false">IF(Monthly!T$5="","",Monthly!T98)</f>
        <v/>
      </c>
      <c r="U8" s="35" t="str">
        <f aca="false">IF(Monthly!U$5="","",Monthly!U98)</f>
        <v/>
      </c>
      <c r="V8" s="35" t="str">
        <f aca="false">IF(Monthly!V$5="","",Monthly!V98)</f>
        <v/>
      </c>
      <c r="W8" s="35" t="str">
        <f aca="false">IF(Monthly!W$5="","",Monthly!W98)</f>
        <v/>
      </c>
      <c r="X8" s="35" t="str">
        <f aca="false">IF(Monthly!X$5="","",Monthly!X98)</f>
        <v/>
      </c>
      <c r="Y8" s="35" t="str">
        <f aca="false">IF(Monthly!Y$5="","",Monthly!Y98)</f>
        <v/>
      </c>
      <c r="Z8" s="35" t="str">
        <f aca="false">IF(Monthly!Z$5="","",Monthly!Z98)</f>
        <v/>
      </c>
      <c r="AA8" s="24" t="n">
        <f aca="false">SUM(C8:Z8)</f>
        <v>0</v>
      </c>
    </row>
    <row r="9" customFormat="false" ht="15" hidden="false" customHeight="false" outlineLevel="0" collapsed="false">
      <c r="B9" s="3" t="s">
        <v>159</v>
      </c>
      <c r="C9" s="7" t="str">
        <f aca="false">IF(Monthly!C$5="","",SUM(Monthly!C$53:C$72))</f>
        <v/>
      </c>
      <c r="D9" s="7" t="str">
        <f aca="false">IF(Monthly!D$5="","",SUM(Monthly!D$53:D$72))</f>
        <v/>
      </c>
      <c r="E9" s="7" t="str">
        <f aca="false">IF(Monthly!E$5="","",SUM(Monthly!E$53:E$72))</f>
        <v/>
      </c>
      <c r="F9" s="7" t="str">
        <f aca="false">IF(Monthly!F$5="","",SUM(Monthly!F$53:F$72))</f>
        <v/>
      </c>
      <c r="G9" s="7" t="str">
        <f aca="false">IF(Monthly!G$5="","",SUM(Monthly!G$53:G$72))</f>
        <v/>
      </c>
      <c r="H9" s="7" t="str">
        <f aca="false">IF(Monthly!H$5="","",SUM(Monthly!H$53:H$72))</f>
        <v/>
      </c>
      <c r="I9" s="7" t="str">
        <f aca="false">IF(Monthly!I$5="","",SUM(Monthly!I$53:I$72))</f>
        <v/>
      </c>
      <c r="J9" s="7" t="str">
        <f aca="false">IF(Monthly!J$5="","",SUM(Monthly!J$53:J$72))</f>
        <v/>
      </c>
      <c r="K9" s="7" t="str">
        <f aca="false">IF(Monthly!K$5="","",SUM(Monthly!K$53:K$72))</f>
        <v/>
      </c>
      <c r="L9" s="7" t="str">
        <f aca="false">IF(Monthly!L$5="","",SUM(Monthly!L$53:L$72))</f>
        <v/>
      </c>
      <c r="M9" s="7" t="str">
        <f aca="false">IF(Monthly!M$5="","",SUM(Monthly!M$53:M$72))</f>
        <v/>
      </c>
      <c r="N9" s="7" t="str">
        <f aca="false">IF(Monthly!N$5="","",SUM(Monthly!N$53:N$72))</f>
        <v/>
      </c>
      <c r="O9" s="7" t="str">
        <f aca="false">IF(Monthly!O$5="","",SUM(Monthly!O$53:O$72))</f>
        <v/>
      </c>
      <c r="P9" s="7" t="str">
        <f aca="false">IF(Monthly!P$5="","",SUM(Monthly!P$53:P$72))</f>
        <v/>
      </c>
      <c r="Q9" s="7" t="str">
        <f aca="false">IF(Monthly!Q$5="","",SUM(Monthly!Q$53:Q$72))</f>
        <v/>
      </c>
      <c r="R9" s="7" t="str">
        <f aca="false">IF(Monthly!R$5="","",SUM(Monthly!R$53:R$72))</f>
        <v/>
      </c>
      <c r="S9" s="7" t="str">
        <f aca="false">IF(Monthly!S$5="","",SUM(Monthly!S$53:S$72))</f>
        <v/>
      </c>
      <c r="T9" s="7" t="str">
        <f aca="false">IF(Monthly!T$5="","",SUM(Monthly!T$53:T$72))</f>
        <v/>
      </c>
      <c r="U9" s="7" t="str">
        <f aca="false">IF(Monthly!U$5="","",SUM(Monthly!U$53:U$72))</f>
        <v/>
      </c>
      <c r="V9" s="7" t="str">
        <f aca="false">IF(Monthly!V$5="","",SUM(Monthly!V$53:V$72))</f>
        <v/>
      </c>
      <c r="W9" s="7" t="str">
        <f aca="false">IF(Monthly!W$5="","",SUM(Monthly!W$53:W$72))</f>
        <v/>
      </c>
      <c r="X9" s="7" t="str">
        <f aca="false">IF(Monthly!X$5="","",SUM(Monthly!X$53:X$72))</f>
        <v/>
      </c>
      <c r="Y9" s="7" t="str">
        <f aca="false">IF(Monthly!Y$5="","",SUM(Monthly!Y$53:Y$72))</f>
        <v/>
      </c>
      <c r="Z9" s="7" t="str">
        <f aca="false">IF(Monthly!Z$5="","",SUM(Monthly!Z$53:Z$72))</f>
        <v/>
      </c>
      <c r="AA9" s="25" t="n">
        <f aca="false">SUM(C9:Z9)</f>
        <v>0</v>
      </c>
    </row>
    <row r="10" customFormat="false" ht="15" hidden="false" customHeight="false" outlineLevel="0" collapsed="false">
      <c r="B10" s="36" t="s">
        <v>160</v>
      </c>
      <c r="C10" s="7" t="str">
        <f aca="false">IF(Monthly!C$5="","",Monthly!C99)</f>
        <v/>
      </c>
      <c r="D10" s="7" t="str">
        <f aca="false">IF(Monthly!D$5="","",Monthly!D99)</f>
        <v/>
      </c>
      <c r="E10" s="7" t="str">
        <f aca="false">IF(Monthly!E$5="","",Monthly!E99)</f>
        <v/>
      </c>
      <c r="F10" s="7" t="str">
        <f aca="false">IF(Monthly!F$5="","",Monthly!F99)</f>
        <v/>
      </c>
      <c r="G10" s="7" t="str">
        <f aca="false">IF(Monthly!G$5="","",Monthly!G99)</f>
        <v/>
      </c>
      <c r="H10" s="7" t="str">
        <f aca="false">IF(Monthly!H$5="","",Monthly!H99)</f>
        <v/>
      </c>
      <c r="I10" s="7" t="str">
        <f aca="false">IF(Monthly!I$5="","",Monthly!I99)</f>
        <v/>
      </c>
      <c r="J10" s="7" t="str">
        <f aca="false">IF(Monthly!J$5="","",Monthly!J99)</f>
        <v/>
      </c>
      <c r="K10" s="7" t="str">
        <f aca="false">IF(Monthly!K$5="","",Monthly!K99)</f>
        <v/>
      </c>
      <c r="L10" s="7" t="str">
        <f aca="false">IF(Monthly!L$5="","",Monthly!L99)</f>
        <v/>
      </c>
      <c r="M10" s="7" t="str">
        <f aca="false">IF(Monthly!M$5="","",Monthly!M99)</f>
        <v/>
      </c>
      <c r="N10" s="7" t="str">
        <f aca="false">IF(Monthly!N$5="","",Monthly!N99)</f>
        <v/>
      </c>
      <c r="O10" s="7" t="str">
        <f aca="false">IF(Monthly!O$5="","",Monthly!O99)</f>
        <v/>
      </c>
      <c r="P10" s="7" t="str">
        <f aca="false">IF(Monthly!P$5="","",Monthly!P99)</f>
        <v/>
      </c>
      <c r="Q10" s="7" t="str">
        <f aca="false">IF(Monthly!Q$5="","",Monthly!Q99)</f>
        <v/>
      </c>
      <c r="R10" s="7" t="str">
        <f aca="false">IF(Monthly!R$5="","",Monthly!R99)</f>
        <v/>
      </c>
      <c r="S10" s="7" t="str">
        <f aca="false">IF(Monthly!S$5="","",Monthly!S99)</f>
        <v/>
      </c>
      <c r="T10" s="7" t="str">
        <f aca="false">IF(Monthly!T$5="","",Monthly!T99)</f>
        <v/>
      </c>
      <c r="U10" s="7" t="str">
        <f aca="false">IF(Monthly!U$5="","",Monthly!U99)</f>
        <v/>
      </c>
      <c r="V10" s="7" t="str">
        <f aca="false">IF(Monthly!V$5="","",Monthly!V99)</f>
        <v/>
      </c>
      <c r="W10" s="7" t="str">
        <f aca="false">IF(Monthly!W$5="","",Monthly!W99)</f>
        <v/>
      </c>
      <c r="X10" s="7" t="str">
        <f aca="false">IF(Monthly!X$5="","",Monthly!X99)</f>
        <v/>
      </c>
      <c r="Y10" s="7" t="str">
        <f aca="false">IF(Monthly!Y$5="","",Monthly!Y99)</f>
        <v/>
      </c>
      <c r="Z10" s="7" t="str">
        <f aca="false">IF(Monthly!Z$5="","",Monthly!Z99)</f>
        <v/>
      </c>
      <c r="AA10" s="25" t="n">
        <f aca="false">SUM(C10:Z10)</f>
        <v>0</v>
      </c>
    </row>
    <row r="11" customFormat="false" ht="15" hidden="false" customHeight="false" outlineLevel="0" collapsed="false">
      <c r="B11" s="3" t="s">
        <v>25</v>
      </c>
      <c r="C11" s="7" t="str">
        <f aca="false">IF(C9="","",C9-C10)</f>
        <v/>
      </c>
      <c r="D11" s="7" t="str">
        <f aca="false">IF(D9="","",D9-D10)</f>
        <v/>
      </c>
      <c r="E11" s="7" t="str">
        <f aca="false">IF(E9="","",E9-E10)</f>
        <v/>
      </c>
      <c r="F11" s="7" t="str">
        <f aca="false">IF(F9="","",F9-F10)</f>
        <v/>
      </c>
      <c r="G11" s="7" t="str">
        <f aca="false">IF(G9="","",G9-G10)</f>
        <v/>
      </c>
      <c r="H11" s="7" t="str">
        <f aca="false">IF(H9="","",H9-H10)</f>
        <v/>
      </c>
      <c r="I11" s="7" t="str">
        <f aca="false">IF(I9="","",I9-I10)</f>
        <v/>
      </c>
      <c r="J11" s="7" t="str">
        <f aca="false">IF(J9="","",J9-J10)</f>
        <v/>
      </c>
      <c r="K11" s="7" t="str">
        <f aca="false">IF(K9="","",K9-K10)</f>
        <v/>
      </c>
      <c r="L11" s="7" t="str">
        <f aca="false">IF(L9="","",L9-L10)</f>
        <v/>
      </c>
      <c r="M11" s="7" t="str">
        <f aca="false">IF(M9="","",M9-M10)</f>
        <v/>
      </c>
      <c r="N11" s="7" t="str">
        <f aca="false">IF(N9="","",N9-N10)</f>
        <v/>
      </c>
      <c r="O11" s="7" t="str">
        <f aca="false">IF(O9="","",O9-O10)</f>
        <v/>
      </c>
      <c r="P11" s="7" t="str">
        <f aca="false">IF(P9="","",P9-P10)</f>
        <v/>
      </c>
      <c r="Q11" s="7" t="str">
        <f aca="false">IF(Q9="","",Q9-Q10)</f>
        <v/>
      </c>
      <c r="R11" s="7" t="str">
        <f aca="false">IF(R9="","",R9-R10)</f>
        <v/>
      </c>
      <c r="S11" s="7" t="str">
        <f aca="false">IF(S9="","",S9-S10)</f>
        <v/>
      </c>
      <c r="T11" s="7" t="str">
        <f aca="false">IF(T9="","",T9-T10)</f>
        <v/>
      </c>
      <c r="U11" s="7" t="str">
        <f aca="false">IF(U9="","",U9-U10)</f>
        <v/>
      </c>
      <c r="V11" s="7" t="str">
        <f aca="false">IF(V9="","",V9-V10)</f>
        <v/>
      </c>
      <c r="W11" s="7" t="str">
        <f aca="false">IF(W9="","",W9-W10)</f>
        <v/>
      </c>
      <c r="X11" s="7" t="str">
        <f aca="false">IF(X9="","",X9-X10)</f>
        <v/>
      </c>
      <c r="Y11" s="7" t="str">
        <f aca="false">IF(Y9="","",Y9-Y10)</f>
        <v/>
      </c>
      <c r="Z11" s="7" t="str">
        <f aca="false">IF(Z9="","",Z9-Z10)</f>
        <v/>
      </c>
      <c r="AA11" s="25" t="n">
        <f aca="false">SUM(C11:Z11)</f>
        <v>0</v>
      </c>
    </row>
    <row r="12" customFormat="false" ht="15" hidden="false" customHeight="false" outlineLevel="0" collapsed="false">
      <c r="B12" s="3" t="s">
        <v>27</v>
      </c>
      <c r="C12" s="12" t="str">
        <f aca="false">IF(OR(C9="",C9=0),"",C11/C9)</f>
        <v/>
      </c>
      <c r="D12" s="12" t="str">
        <f aca="false">IF(OR(D9="",D9=0),"",D11/D9)</f>
        <v/>
      </c>
      <c r="E12" s="12" t="str">
        <f aca="false">IF(OR(E9="",E9=0),"",E11/E9)</f>
        <v/>
      </c>
      <c r="F12" s="12" t="str">
        <f aca="false">IF(OR(F9="",F9=0),"",F11/F9)</f>
        <v/>
      </c>
      <c r="G12" s="12" t="str">
        <f aca="false">IF(OR(G9="",G9=0),"",G11/G9)</f>
        <v/>
      </c>
      <c r="H12" s="12" t="str">
        <f aca="false">IF(OR(H9="",H9=0),"",H11/H9)</f>
        <v/>
      </c>
      <c r="I12" s="12" t="str">
        <f aca="false">IF(OR(I9="",I9=0),"",I11/I9)</f>
        <v/>
      </c>
      <c r="J12" s="12" t="str">
        <f aca="false">IF(OR(J9="",J9=0),"",J11/J9)</f>
        <v/>
      </c>
      <c r="K12" s="12" t="str">
        <f aca="false">IF(OR(K9="",K9=0),"",K11/K9)</f>
        <v/>
      </c>
      <c r="L12" s="12" t="str">
        <f aca="false">IF(OR(L9="",L9=0),"",L11/L9)</f>
        <v/>
      </c>
      <c r="M12" s="12" t="str">
        <f aca="false">IF(OR(M9="",M9=0),"",M11/M9)</f>
        <v/>
      </c>
      <c r="N12" s="12" t="str">
        <f aca="false">IF(OR(N9="",N9=0),"",N11/N9)</f>
        <v/>
      </c>
      <c r="O12" s="12" t="str">
        <f aca="false">IF(OR(O9="",O9=0),"",O11/O9)</f>
        <v/>
      </c>
      <c r="P12" s="12" t="str">
        <f aca="false">IF(OR(P9="",P9=0),"",P11/P9)</f>
        <v/>
      </c>
      <c r="Q12" s="12" t="str">
        <f aca="false">IF(OR(Q9="",Q9=0),"",Q11/Q9)</f>
        <v/>
      </c>
      <c r="R12" s="12" t="str">
        <f aca="false">IF(OR(R9="",R9=0),"",R11/R9)</f>
        <v/>
      </c>
      <c r="S12" s="12" t="str">
        <f aca="false">IF(OR(S9="",S9=0),"",S11/S9)</f>
        <v/>
      </c>
      <c r="T12" s="12" t="str">
        <f aca="false">IF(OR(T9="",T9=0),"",T11/T9)</f>
        <v/>
      </c>
      <c r="U12" s="12" t="str">
        <f aca="false">IF(OR(U9="",U9=0),"",U11/U9)</f>
        <v/>
      </c>
      <c r="V12" s="12" t="str">
        <f aca="false">IF(OR(V9="",V9=0),"",V11/V9)</f>
        <v/>
      </c>
      <c r="W12" s="12" t="str">
        <f aca="false">IF(OR(W9="",W9=0),"",W11/W9)</f>
        <v/>
      </c>
      <c r="X12" s="12" t="str">
        <f aca="false">IF(OR(X9="",X9=0),"",X11/X9)</f>
        <v/>
      </c>
      <c r="Y12" s="12" t="str">
        <f aca="false">IF(OR(Y9="",Y9=0),"",Y11/Y9)</f>
        <v/>
      </c>
      <c r="Z12" s="12" t="str">
        <f aca="false">IF(OR(Z9="",Z9=0),"",Z11/Z9)</f>
        <v/>
      </c>
      <c r="AA12" s="26" t="str">
        <f aca="false">IF(OR(AA9="",AA9=0),"",AA11/AA9)</f>
        <v/>
      </c>
    </row>
    <row r="13" customFormat="false" ht="15" hidden="false" customHeight="false" outlineLevel="0" collapsed="false">
      <c r="B13" s="2" t="s">
        <v>161</v>
      </c>
    </row>
    <row r="15" customFormat="false" ht="15" hidden="false" customHeight="false" outlineLevel="0" collapsed="false">
      <c r="A15" s="40" t="str">
        <f aca="false">IF('Cost Margin'!$V$32="","",'Cost Margin'!$V$32)</f>
        <v/>
      </c>
      <c r="B15" s="36" t="s">
        <v>62</v>
      </c>
      <c r="C15" s="22" t="str">
        <f aca="false">IF(OR($A$15="",Monthly!C$5=""),"",SUMPRODUCT((Monthly!$AB$31:$AB$50=$A$15)*(Monthly!C$31:C$50&gt;0)))</f>
        <v/>
      </c>
      <c r="D15" s="22" t="str">
        <f aca="false">IF(OR($A$15="",Monthly!D$5=""),"",SUMPRODUCT((Monthly!$AB$31:$AB$50=$A$15)*(Monthly!D$31:D$50&gt;0)))</f>
        <v/>
      </c>
      <c r="E15" s="22" t="str">
        <f aca="false">IF(OR($A$15="",Monthly!E$5=""),"",SUMPRODUCT((Monthly!$AB$31:$AB$50=$A$15)*(Monthly!E$31:E$50&gt;0)))</f>
        <v/>
      </c>
      <c r="F15" s="22" t="str">
        <f aca="false">IF(OR($A$15="",Monthly!F$5=""),"",SUMPRODUCT((Monthly!$AB$31:$AB$50=$A$15)*(Monthly!F$31:F$50&gt;0)))</f>
        <v/>
      </c>
      <c r="G15" s="22" t="str">
        <f aca="false">IF(OR($A$15="",Monthly!G$5=""),"",SUMPRODUCT((Monthly!$AB$31:$AB$50=$A$15)*(Monthly!G$31:G$50&gt;0)))</f>
        <v/>
      </c>
      <c r="H15" s="22" t="str">
        <f aca="false">IF(OR($A$15="",Monthly!H$5=""),"",SUMPRODUCT((Monthly!$AB$31:$AB$50=$A$15)*(Monthly!H$31:H$50&gt;0)))</f>
        <v/>
      </c>
      <c r="I15" s="22" t="str">
        <f aca="false">IF(OR($A$15="",Monthly!I$5=""),"",SUMPRODUCT((Monthly!$AB$31:$AB$50=$A$15)*(Monthly!I$31:I$50&gt;0)))</f>
        <v/>
      </c>
      <c r="J15" s="22" t="str">
        <f aca="false">IF(OR($A$15="",Monthly!J$5=""),"",SUMPRODUCT((Monthly!$AB$31:$AB$50=$A$15)*(Monthly!J$31:J$50&gt;0)))</f>
        <v/>
      </c>
      <c r="K15" s="22" t="str">
        <f aca="false">IF(OR($A$15="",Monthly!K$5=""),"",SUMPRODUCT((Monthly!$AB$31:$AB$50=$A$15)*(Monthly!K$31:K$50&gt;0)))</f>
        <v/>
      </c>
      <c r="L15" s="22" t="str">
        <f aca="false">IF(OR($A$15="",Monthly!L$5=""),"",SUMPRODUCT((Monthly!$AB$31:$AB$50=$A$15)*(Monthly!L$31:L$50&gt;0)))</f>
        <v/>
      </c>
      <c r="M15" s="22" t="str">
        <f aca="false">IF(OR($A$15="",Monthly!M$5=""),"",SUMPRODUCT((Monthly!$AB$31:$AB$50=$A$15)*(Monthly!M$31:M$50&gt;0)))</f>
        <v/>
      </c>
      <c r="N15" s="22" t="str">
        <f aca="false">IF(OR($A$15="",Monthly!N$5=""),"",SUMPRODUCT((Monthly!$AB$31:$AB$50=$A$15)*(Monthly!N$31:N$50&gt;0)))</f>
        <v/>
      </c>
      <c r="O15" s="22" t="str">
        <f aca="false">IF(OR($A$15="",Monthly!O$5=""),"",SUMPRODUCT((Monthly!$AB$31:$AB$50=$A$15)*(Monthly!O$31:O$50&gt;0)))</f>
        <v/>
      </c>
      <c r="P15" s="22" t="str">
        <f aca="false">IF(OR($A$15="",Monthly!P$5=""),"",SUMPRODUCT((Monthly!$AB$31:$AB$50=$A$15)*(Monthly!P$31:P$50&gt;0)))</f>
        <v/>
      </c>
      <c r="Q15" s="22" t="str">
        <f aca="false">IF(OR($A$15="",Monthly!Q$5=""),"",SUMPRODUCT((Monthly!$AB$31:$AB$50=$A$15)*(Monthly!Q$31:Q$50&gt;0)))</f>
        <v/>
      </c>
      <c r="R15" s="22" t="str">
        <f aca="false">IF(OR($A$15="",Monthly!R$5=""),"",SUMPRODUCT((Monthly!$AB$31:$AB$50=$A$15)*(Monthly!R$31:R$50&gt;0)))</f>
        <v/>
      </c>
      <c r="S15" s="22" t="str">
        <f aca="false">IF(OR($A$15="",Monthly!S$5=""),"",SUMPRODUCT((Monthly!$AB$31:$AB$50=$A$15)*(Monthly!S$31:S$50&gt;0)))</f>
        <v/>
      </c>
      <c r="T15" s="22" t="str">
        <f aca="false">IF(OR($A$15="",Monthly!T$5=""),"",SUMPRODUCT((Monthly!$AB$31:$AB$50=$A$15)*(Monthly!T$31:T$50&gt;0)))</f>
        <v/>
      </c>
      <c r="U15" s="22" t="str">
        <f aca="false">IF(OR($A$15="",Monthly!U$5=""),"",SUMPRODUCT((Monthly!$AB$31:$AB$50=$A$15)*(Monthly!U$31:U$50&gt;0)))</f>
        <v/>
      </c>
      <c r="V15" s="22" t="str">
        <f aca="false">IF(OR($A$15="",Monthly!V$5=""),"",SUMPRODUCT((Monthly!$AB$31:$AB$50=$A$15)*(Monthly!V$31:V$50&gt;0)))</f>
        <v/>
      </c>
      <c r="W15" s="22" t="str">
        <f aca="false">IF(OR($A$15="",Monthly!W$5=""),"",SUMPRODUCT((Monthly!$AB$31:$AB$50=$A$15)*(Monthly!W$31:W$50&gt;0)))</f>
        <v/>
      </c>
      <c r="X15" s="22" t="str">
        <f aca="false">IF(OR($A$15="",Monthly!X$5=""),"",SUMPRODUCT((Monthly!$AB$31:$AB$50=$A$15)*(Monthly!X$31:X$50&gt;0)))</f>
        <v/>
      </c>
      <c r="Y15" s="22" t="str">
        <f aca="false">IF(OR($A$15="",Monthly!Y$5=""),"",SUMPRODUCT((Monthly!$AB$31:$AB$50=$A$15)*(Monthly!Y$31:Y$50&gt;0)))</f>
        <v/>
      </c>
      <c r="Z15" s="22" t="str">
        <f aca="false">IF(OR($A$15="",Monthly!Z$5=""),"",SUMPRODUCT((Monthly!$AB$31:$AB$50=$A$15)*(Monthly!Z$31:Z$50&gt;0)))</f>
        <v/>
      </c>
      <c r="AA15" s="37" t="str">
        <f aca="false">IF($A$15="","",MAX(C15:Z15))</f>
        <v/>
      </c>
    </row>
    <row r="16" customFormat="false" ht="15" hidden="false" customHeight="false" outlineLevel="0" collapsed="false">
      <c r="B16" s="36" t="s">
        <v>149</v>
      </c>
      <c r="C16" s="35" t="str">
        <f aca="false">IF(OR($A$15="",Monthly!C$5=""),"",SUMIF(Monthly!$AB$31:$AB$50,$A$15,Monthly!C$31:C$50))</f>
        <v/>
      </c>
      <c r="D16" s="35" t="str">
        <f aca="false">IF(OR($A$15="",Monthly!D$5=""),"",SUMIF(Monthly!$AB$31:$AB$50,$A$15,Monthly!D$31:D$50))</f>
        <v/>
      </c>
      <c r="E16" s="35" t="str">
        <f aca="false">IF(OR($A$15="",Monthly!E$5=""),"",SUMIF(Monthly!$AB$31:$AB$50,$A$15,Monthly!E$31:E$50))</f>
        <v/>
      </c>
      <c r="F16" s="35" t="str">
        <f aca="false">IF(OR($A$15="",Monthly!F$5=""),"",SUMIF(Monthly!$AB$31:$AB$50,$A$15,Monthly!F$31:F$50))</f>
        <v/>
      </c>
      <c r="G16" s="35" t="str">
        <f aca="false">IF(OR($A$15="",Monthly!G$5=""),"",SUMIF(Monthly!$AB$31:$AB$50,$A$15,Monthly!G$31:G$50))</f>
        <v/>
      </c>
      <c r="H16" s="35" t="str">
        <f aca="false">IF(OR($A$15="",Monthly!H$5=""),"",SUMIF(Monthly!$AB$31:$AB$50,$A$15,Monthly!H$31:H$50))</f>
        <v/>
      </c>
      <c r="I16" s="35" t="str">
        <f aca="false">IF(OR($A$15="",Monthly!I$5=""),"",SUMIF(Monthly!$AB$31:$AB$50,$A$15,Monthly!I$31:I$50))</f>
        <v/>
      </c>
      <c r="J16" s="35" t="str">
        <f aca="false">IF(OR($A$15="",Monthly!J$5=""),"",SUMIF(Monthly!$AB$31:$AB$50,$A$15,Monthly!J$31:J$50))</f>
        <v/>
      </c>
      <c r="K16" s="35" t="str">
        <f aca="false">IF(OR($A$15="",Monthly!K$5=""),"",SUMIF(Monthly!$AB$31:$AB$50,$A$15,Monthly!K$31:K$50))</f>
        <v/>
      </c>
      <c r="L16" s="35" t="str">
        <f aca="false">IF(OR($A$15="",Monthly!L$5=""),"",SUMIF(Monthly!$AB$31:$AB$50,$A$15,Monthly!L$31:L$50))</f>
        <v/>
      </c>
      <c r="M16" s="35" t="str">
        <f aca="false">IF(OR($A$15="",Monthly!M$5=""),"",SUMIF(Monthly!$AB$31:$AB$50,$A$15,Monthly!M$31:M$50))</f>
        <v/>
      </c>
      <c r="N16" s="35" t="str">
        <f aca="false">IF(OR($A$15="",Monthly!N$5=""),"",SUMIF(Monthly!$AB$31:$AB$50,$A$15,Monthly!N$31:N$50))</f>
        <v/>
      </c>
      <c r="O16" s="35" t="str">
        <f aca="false">IF(OR($A$15="",Monthly!O$5=""),"",SUMIF(Monthly!$AB$31:$AB$50,$A$15,Monthly!O$31:O$50))</f>
        <v/>
      </c>
      <c r="P16" s="35" t="str">
        <f aca="false">IF(OR($A$15="",Monthly!P$5=""),"",SUMIF(Monthly!$AB$31:$AB$50,$A$15,Monthly!P$31:P$50))</f>
        <v/>
      </c>
      <c r="Q16" s="35" t="str">
        <f aca="false">IF(OR($A$15="",Monthly!Q$5=""),"",SUMIF(Monthly!$AB$31:$AB$50,$A$15,Monthly!Q$31:Q$50))</f>
        <v/>
      </c>
      <c r="R16" s="35" t="str">
        <f aca="false">IF(OR($A$15="",Monthly!R$5=""),"",SUMIF(Monthly!$AB$31:$AB$50,$A$15,Monthly!R$31:R$50))</f>
        <v/>
      </c>
      <c r="S16" s="35" t="str">
        <f aca="false">IF(OR($A$15="",Monthly!S$5=""),"",SUMIF(Monthly!$AB$31:$AB$50,$A$15,Monthly!S$31:S$50))</f>
        <v/>
      </c>
      <c r="T16" s="35" t="str">
        <f aca="false">IF(OR($A$15="",Monthly!T$5=""),"",SUMIF(Monthly!$AB$31:$AB$50,$A$15,Monthly!T$31:T$50))</f>
        <v/>
      </c>
      <c r="U16" s="35" t="str">
        <f aca="false">IF(OR($A$15="",Monthly!U$5=""),"",SUMIF(Monthly!$AB$31:$AB$50,$A$15,Monthly!U$31:U$50))</f>
        <v/>
      </c>
      <c r="V16" s="35" t="str">
        <f aca="false">IF(OR($A$15="",Monthly!V$5=""),"",SUMIF(Monthly!$AB$31:$AB$50,$A$15,Monthly!V$31:V$50))</f>
        <v/>
      </c>
      <c r="W16" s="35" t="str">
        <f aca="false">IF(OR($A$15="",Monthly!W$5=""),"",SUMIF(Monthly!$AB$31:$AB$50,$A$15,Monthly!W$31:W$50))</f>
        <v/>
      </c>
      <c r="X16" s="35" t="str">
        <f aca="false">IF(OR($A$15="",Monthly!X$5=""),"",SUMIF(Monthly!$AB$31:$AB$50,$A$15,Monthly!X$31:X$50))</f>
        <v/>
      </c>
      <c r="Y16" s="35" t="str">
        <f aca="false">IF(OR($A$15="",Monthly!Y$5=""),"",SUMIF(Monthly!$AB$31:$AB$50,$A$15,Monthly!Y$31:Y$50))</f>
        <v/>
      </c>
      <c r="Z16" s="35" t="str">
        <f aca="false">IF(OR($A$15="",Monthly!Z$5=""),"",SUMIF(Monthly!$AB$31:$AB$50,$A$15,Monthly!Z$31:Z$50))</f>
        <v/>
      </c>
      <c r="AA16" s="24" t="str">
        <f aca="false">IF($A$15="","",SUM(C16:Z16))</f>
        <v/>
      </c>
    </row>
    <row r="17" customFormat="false" ht="15" hidden="false" customHeight="false" outlineLevel="0" collapsed="false">
      <c r="B17" s="3" t="s">
        <v>151</v>
      </c>
      <c r="C17" s="7" t="str">
        <f aca="false">IF(OR($A$15="",Monthly!C$5=""),"",SUMIF(Monthly!$AB$31:$AB$50,$A$15,Monthly!C$53:C$72))</f>
        <v/>
      </c>
      <c r="D17" s="7" t="str">
        <f aca="false">IF(OR($A$15="",Monthly!D$5=""),"",SUMIF(Monthly!$AB$31:$AB$50,$A$15,Monthly!D$53:D$72))</f>
        <v/>
      </c>
      <c r="E17" s="7" t="str">
        <f aca="false">IF(OR($A$15="",Monthly!E$5=""),"",SUMIF(Monthly!$AB$31:$AB$50,$A$15,Monthly!E$53:E$72))</f>
        <v/>
      </c>
      <c r="F17" s="7" t="str">
        <f aca="false">IF(OR($A$15="",Monthly!F$5=""),"",SUMIF(Monthly!$AB$31:$AB$50,$A$15,Monthly!F$53:F$72))</f>
        <v/>
      </c>
      <c r="G17" s="7" t="str">
        <f aca="false">IF(OR($A$15="",Monthly!G$5=""),"",SUMIF(Monthly!$AB$31:$AB$50,$A$15,Monthly!G$53:G$72))</f>
        <v/>
      </c>
      <c r="H17" s="7" t="str">
        <f aca="false">IF(OR($A$15="",Monthly!H$5=""),"",SUMIF(Monthly!$AB$31:$AB$50,$A$15,Monthly!H$53:H$72))</f>
        <v/>
      </c>
      <c r="I17" s="7" t="str">
        <f aca="false">IF(OR($A$15="",Monthly!I$5=""),"",SUMIF(Monthly!$AB$31:$AB$50,$A$15,Monthly!I$53:I$72))</f>
        <v/>
      </c>
      <c r="J17" s="7" t="str">
        <f aca="false">IF(OR($A$15="",Monthly!J$5=""),"",SUMIF(Monthly!$AB$31:$AB$50,$A$15,Monthly!J$53:J$72))</f>
        <v/>
      </c>
      <c r="K17" s="7" t="str">
        <f aca="false">IF(OR($A$15="",Monthly!K$5=""),"",SUMIF(Monthly!$AB$31:$AB$50,$A$15,Monthly!K$53:K$72))</f>
        <v/>
      </c>
      <c r="L17" s="7" t="str">
        <f aca="false">IF(OR($A$15="",Monthly!L$5=""),"",SUMIF(Monthly!$AB$31:$AB$50,$A$15,Monthly!L$53:L$72))</f>
        <v/>
      </c>
      <c r="M17" s="7" t="str">
        <f aca="false">IF(OR($A$15="",Monthly!M$5=""),"",SUMIF(Monthly!$AB$31:$AB$50,$A$15,Monthly!M$53:M$72))</f>
        <v/>
      </c>
      <c r="N17" s="7" t="str">
        <f aca="false">IF(OR($A$15="",Monthly!N$5=""),"",SUMIF(Monthly!$AB$31:$AB$50,$A$15,Monthly!N$53:N$72))</f>
        <v/>
      </c>
      <c r="O17" s="7" t="str">
        <f aca="false">IF(OR($A$15="",Monthly!O$5=""),"",SUMIF(Monthly!$AB$31:$AB$50,$A$15,Monthly!O$53:O$72))</f>
        <v/>
      </c>
      <c r="P17" s="7" t="str">
        <f aca="false">IF(OR($A$15="",Monthly!P$5=""),"",SUMIF(Monthly!$AB$31:$AB$50,$A$15,Monthly!P$53:P$72))</f>
        <v/>
      </c>
      <c r="Q17" s="7" t="str">
        <f aca="false">IF(OR($A$15="",Monthly!Q$5=""),"",SUMIF(Monthly!$AB$31:$AB$50,$A$15,Monthly!Q$53:Q$72))</f>
        <v/>
      </c>
      <c r="R17" s="7" t="str">
        <f aca="false">IF(OR($A$15="",Monthly!R$5=""),"",SUMIF(Monthly!$AB$31:$AB$50,$A$15,Monthly!R$53:R$72))</f>
        <v/>
      </c>
      <c r="S17" s="7" t="str">
        <f aca="false">IF(OR($A$15="",Monthly!S$5=""),"",SUMIF(Monthly!$AB$31:$AB$50,$A$15,Monthly!S$53:S$72))</f>
        <v/>
      </c>
      <c r="T17" s="7" t="str">
        <f aca="false">IF(OR($A$15="",Monthly!T$5=""),"",SUMIF(Monthly!$AB$31:$AB$50,$A$15,Monthly!T$53:T$72))</f>
        <v/>
      </c>
      <c r="U17" s="7" t="str">
        <f aca="false">IF(OR($A$15="",Monthly!U$5=""),"",SUMIF(Monthly!$AB$31:$AB$50,$A$15,Monthly!U$53:U$72))</f>
        <v/>
      </c>
      <c r="V17" s="7" t="str">
        <f aca="false">IF(OR($A$15="",Monthly!V$5=""),"",SUMIF(Monthly!$AB$31:$AB$50,$A$15,Monthly!V$53:V$72))</f>
        <v/>
      </c>
      <c r="W17" s="7" t="str">
        <f aca="false">IF(OR($A$15="",Monthly!W$5=""),"",SUMIF(Monthly!$AB$31:$AB$50,$A$15,Monthly!W$53:W$72))</f>
        <v/>
      </c>
      <c r="X17" s="7" t="str">
        <f aca="false">IF(OR($A$15="",Monthly!X$5=""),"",SUMIF(Monthly!$AB$31:$AB$50,$A$15,Monthly!X$53:X$72))</f>
        <v/>
      </c>
      <c r="Y17" s="7" t="str">
        <f aca="false">IF(OR($A$15="",Monthly!Y$5=""),"",SUMIF(Monthly!$AB$31:$AB$50,$A$15,Monthly!Y$53:Y$72))</f>
        <v/>
      </c>
      <c r="Z17" s="7" t="str">
        <f aca="false">IF(OR($A$15="",Monthly!Z$5=""),"",SUMIF(Monthly!$AB$31:$AB$50,$A$15,Monthly!Z$53:Z$72))</f>
        <v/>
      </c>
      <c r="AA17" s="25" t="str">
        <f aca="false">IF($A$15="","",SUM(C17:Z17))</f>
        <v/>
      </c>
    </row>
    <row r="18" customFormat="false" ht="15" hidden="false" customHeight="false" outlineLevel="0" collapsed="false">
      <c r="B18" s="36" t="s">
        <v>160</v>
      </c>
      <c r="C18" s="7" t="str">
        <f aca="false">IF(OR($A$15="",Monthly!C$5=""),"",SUMIF(Monthly!$AB$31:$AB$50,$A$15,Monthly!C$75:C$94))</f>
        <v/>
      </c>
      <c r="D18" s="7" t="str">
        <f aca="false">IF(OR($A$15="",Monthly!D$5=""),"",SUMIF(Monthly!$AB$31:$AB$50,$A$15,Monthly!D$75:D$94))</f>
        <v/>
      </c>
      <c r="E18" s="7" t="str">
        <f aca="false">IF(OR($A$15="",Monthly!E$5=""),"",SUMIF(Monthly!$AB$31:$AB$50,$A$15,Monthly!E$75:E$94))</f>
        <v/>
      </c>
      <c r="F18" s="7" t="str">
        <f aca="false">IF(OR($A$15="",Monthly!F$5=""),"",SUMIF(Monthly!$AB$31:$AB$50,$A$15,Monthly!F$75:F$94))</f>
        <v/>
      </c>
      <c r="G18" s="7" t="str">
        <f aca="false">IF(OR($A$15="",Monthly!G$5=""),"",SUMIF(Monthly!$AB$31:$AB$50,$A$15,Monthly!G$75:G$94))</f>
        <v/>
      </c>
      <c r="H18" s="7" t="str">
        <f aca="false">IF(OR($A$15="",Monthly!H$5=""),"",SUMIF(Monthly!$AB$31:$AB$50,$A$15,Monthly!H$75:H$94))</f>
        <v/>
      </c>
      <c r="I18" s="7" t="str">
        <f aca="false">IF(OR($A$15="",Monthly!I$5=""),"",SUMIF(Monthly!$AB$31:$AB$50,$A$15,Monthly!I$75:I$94))</f>
        <v/>
      </c>
      <c r="J18" s="7" t="str">
        <f aca="false">IF(OR($A$15="",Monthly!J$5=""),"",SUMIF(Monthly!$AB$31:$AB$50,$A$15,Monthly!J$75:J$94))</f>
        <v/>
      </c>
      <c r="K18" s="7" t="str">
        <f aca="false">IF(OR($A$15="",Monthly!K$5=""),"",SUMIF(Monthly!$AB$31:$AB$50,$A$15,Monthly!K$75:K$94))</f>
        <v/>
      </c>
      <c r="L18" s="7" t="str">
        <f aca="false">IF(OR($A$15="",Monthly!L$5=""),"",SUMIF(Monthly!$AB$31:$AB$50,$A$15,Monthly!L$75:L$94))</f>
        <v/>
      </c>
      <c r="M18" s="7" t="str">
        <f aca="false">IF(OR($A$15="",Monthly!M$5=""),"",SUMIF(Monthly!$AB$31:$AB$50,$A$15,Monthly!M$75:M$94))</f>
        <v/>
      </c>
      <c r="N18" s="7" t="str">
        <f aca="false">IF(OR($A$15="",Monthly!N$5=""),"",SUMIF(Monthly!$AB$31:$AB$50,$A$15,Monthly!N$75:N$94))</f>
        <v/>
      </c>
      <c r="O18" s="7" t="str">
        <f aca="false">IF(OR($A$15="",Monthly!O$5=""),"",SUMIF(Monthly!$AB$31:$AB$50,$A$15,Monthly!O$75:O$94))</f>
        <v/>
      </c>
      <c r="P18" s="7" t="str">
        <f aca="false">IF(OR($A$15="",Monthly!P$5=""),"",SUMIF(Monthly!$AB$31:$AB$50,$A$15,Monthly!P$75:P$94))</f>
        <v/>
      </c>
      <c r="Q18" s="7" t="str">
        <f aca="false">IF(OR($A$15="",Monthly!Q$5=""),"",SUMIF(Monthly!$AB$31:$AB$50,$A$15,Monthly!Q$75:Q$94))</f>
        <v/>
      </c>
      <c r="R18" s="7" t="str">
        <f aca="false">IF(OR($A$15="",Monthly!R$5=""),"",SUMIF(Monthly!$AB$31:$AB$50,$A$15,Monthly!R$75:R$94))</f>
        <v/>
      </c>
      <c r="S18" s="7" t="str">
        <f aca="false">IF(OR($A$15="",Monthly!S$5=""),"",SUMIF(Monthly!$AB$31:$AB$50,$A$15,Monthly!S$75:S$94))</f>
        <v/>
      </c>
      <c r="T18" s="7" t="str">
        <f aca="false">IF(OR($A$15="",Monthly!T$5=""),"",SUMIF(Monthly!$AB$31:$AB$50,$A$15,Monthly!T$75:T$94))</f>
        <v/>
      </c>
      <c r="U18" s="7" t="str">
        <f aca="false">IF(OR($A$15="",Monthly!U$5=""),"",SUMIF(Monthly!$AB$31:$AB$50,$A$15,Monthly!U$75:U$94))</f>
        <v/>
      </c>
      <c r="V18" s="7" t="str">
        <f aca="false">IF(OR($A$15="",Monthly!V$5=""),"",SUMIF(Monthly!$AB$31:$AB$50,$A$15,Monthly!V$75:V$94))</f>
        <v/>
      </c>
      <c r="W18" s="7" t="str">
        <f aca="false">IF(OR($A$15="",Monthly!W$5=""),"",SUMIF(Monthly!$AB$31:$AB$50,$A$15,Monthly!W$75:W$94))</f>
        <v/>
      </c>
      <c r="X18" s="7" t="str">
        <f aca="false">IF(OR($A$15="",Monthly!X$5=""),"",SUMIF(Monthly!$AB$31:$AB$50,$A$15,Monthly!X$75:X$94))</f>
        <v/>
      </c>
      <c r="Y18" s="7" t="str">
        <f aca="false">IF(OR($A$15="",Monthly!Y$5=""),"",SUMIF(Monthly!$AB$31:$AB$50,$A$15,Monthly!Y$75:Y$94))</f>
        <v/>
      </c>
      <c r="Z18" s="7" t="str">
        <f aca="false">IF(OR($A$15="",Monthly!Z$5=""),"",SUMIF(Monthly!$AB$31:$AB$50,$A$15,Monthly!Z$75:Z$94))</f>
        <v/>
      </c>
      <c r="AA18" s="25" t="str">
        <f aca="false">IF($A$15="","",SUM(C18:Z18))</f>
        <v/>
      </c>
    </row>
    <row r="19" customFormat="false" ht="15" hidden="false" customHeight="false" outlineLevel="0" collapsed="false">
      <c r="B19" s="3" t="s">
        <v>25</v>
      </c>
      <c r="C19" s="7" t="str">
        <f aca="false">IF(C17="","",C17-C18)</f>
        <v/>
      </c>
      <c r="D19" s="7" t="str">
        <f aca="false">IF(D17="","",D17-D18)</f>
        <v/>
      </c>
      <c r="E19" s="7" t="str">
        <f aca="false">IF(E17="","",E17-E18)</f>
        <v/>
      </c>
      <c r="F19" s="7" t="str">
        <f aca="false">IF(F17="","",F17-F18)</f>
        <v/>
      </c>
      <c r="G19" s="7" t="str">
        <f aca="false">IF(G17="","",G17-G18)</f>
        <v/>
      </c>
      <c r="H19" s="7" t="str">
        <f aca="false">IF(H17="","",H17-H18)</f>
        <v/>
      </c>
      <c r="I19" s="7" t="str">
        <f aca="false">IF(I17="","",I17-I18)</f>
        <v/>
      </c>
      <c r="J19" s="7" t="str">
        <f aca="false">IF(J17="","",J17-J18)</f>
        <v/>
      </c>
      <c r="K19" s="7" t="str">
        <f aca="false">IF(K17="","",K17-K18)</f>
        <v/>
      </c>
      <c r="L19" s="7" t="str">
        <f aca="false">IF(L17="","",L17-L18)</f>
        <v/>
      </c>
      <c r="M19" s="7" t="str">
        <f aca="false">IF(M17="","",M17-M18)</f>
        <v/>
      </c>
      <c r="N19" s="7" t="str">
        <f aca="false">IF(N17="","",N17-N18)</f>
        <v/>
      </c>
      <c r="O19" s="7" t="str">
        <f aca="false">IF(O17="","",O17-O18)</f>
        <v/>
      </c>
      <c r="P19" s="7" t="str">
        <f aca="false">IF(P17="","",P17-P18)</f>
        <v/>
      </c>
      <c r="Q19" s="7" t="str">
        <f aca="false">IF(Q17="","",Q17-Q18)</f>
        <v/>
      </c>
      <c r="R19" s="7" t="str">
        <f aca="false">IF(R17="","",R17-R18)</f>
        <v/>
      </c>
      <c r="S19" s="7" t="str">
        <f aca="false">IF(S17="","",S17-S18)</f>
        <v/>
      </c>
      <c r="T19" s="7" t="str">
        <f aca="false">IF(T17="","",T17-T18)</f>
        <v/>
      </c>
      <c r="U19" s="7" t="str">
        <f aca="false">IF(U17="","",U17-U18)</f>
        <v/>
      </c>
      <c r="V19" s="7" t="str">
        <f aca="false">IF(V17="","",V17-V18)</f>
        <v/>
      </c>
      <c r="W19" s="7" t="str">
        <f aca="false">IF(W17="","",W17-W18)</f>
        <v/>
      </c>
      <c r="X19" s="7" t="str">
        <f aca="false">IF(X17="","",X17-X18)</f>
        <v/>
      </c>
      <c r="Y19" s="7" t="str">
        <f aca="false">IF(Y17="","",Y17-Y18)</f>
        <v/>
      </c>
      <c r="Z19" s="7" t="str">
        <f aca="false">IF(Z17="","",Z17-Z18)</f>
        <v/>
      </c>
      <c r="AA19" s="25" t="str">
        <f aca="false">IF($A$15="","",SUM(C19:Z19))</f>
        <v/>
      </c>
    </row>
    <row r="20" customFormat="false" ht="15" hidden="false" customHeight="false" outlineLevel="0" collapsed="false">
      <c r="B20" s="3" t="s">
        <v>27</v>
      </c>
      <c r="C20" s="12" t="str">
        <f aca="false">IF(OR(C17="",C17=0),"",C19/C17)</f>
        <v/>
      </c>
      <c r="D20" s="12" t="str">
        <f aca="false">IF(OR(D17="",D17=0),"",D19/D17)</f>
        <v/>
      </c>
      <c r="E20" s="12" t="str">
        <f aca="false">IF(OR(E17="",E17=0),"",E19/E17)</f>
        <v/>
      </c>
      <c r="F20" s="12" t="str">
        <f aca="false">IF(OR(F17="",F17=0),"",F19/F17)</f>
        <v/>
      </c>
      <c r="G20" s="12" t="str">
        <f aca="false">IF(OR(G17="",G17=0),"",G19/G17)</f>
        <v/>
      </c>
      <c r="H20" s="12" t="str">
        <f aca="false">IF(OR(H17="",H17=0),"",H19/H17)</f>
        <v/>
      </c>
      <c r="I20" s="12" t="str">
        <f aca="false">IF(OR(I17="",I17=0),"",I19/I17)</f>
        <v/>
      </c>
      <c r="J20" s="12" t="str">
        <f aca="false">IF(OR(J17="",J17=0),"",J19/J17)</f>
        <v/>
      </c>
      <c r="K20" s="12" t="str">
        <f aca="false">IF(OR(K17="",K17=0),"",K19/K17)</f>
        <v/>
      </c>
      <c r="L20" s="12" t="str">
        <f aca="false">IF(OR(L17="",L17=0),"",L19/L17)</f>
        <v/>
      </c>
      <c r="M20" s="12" t="str">
        <f aca="false">IF(OR(M17="",M17=0),"",M19/M17)</f>
        <v/>
      </c>
      <c r="N20" s="12" t="str">
        <f aca="false">IF(OR(N17="",N17=0),"",N19/N17)</f>
        <v/>
      </c>
      <c r="O20" s="12" t="str">
        <f aca="false">IF(OR(O17="",O17=0),"",O19/O17)</f>
        <v/>
      </c>
      <c r="P20" s="12" t="str">
        <f aca="false">IF(OR(P17="",P17=0),"",P19/P17)</f>
        <v/>
      </c>
      <c r="Q20" s="12" t="str">
        <f aca="false">IF(OR(Q17="",Q17=0),"",Q19/Q17)</f>
        <v/>
      </c>
      <c r="R20" s="12" t="str">
        <f aca="false">IF(OR(R17="",R17=0),"",R19/R17)</f>
        <v/>
      </c>
      <c r="S20" s="12" t="str">
        <f aca="false">IF(OR(S17="",S17=0),"",S19/S17)</f>
        <v/>
      </c>
      <c r="T20" s="12" t="str">
        <f aca="false">IF(OR(T17="",T17=0),"",T19/T17)</f>
        <v/>
      </c>
      <c r="U20" s="12" t="str">
        <f aca="false">IF(OR(U17="",U17=0),"",U19/U17)</f>
        <v/>
      </c>
      <c r="V20" s="12" t="str">
        <f aca="false">IF(OR(V17="",V17=0),"",V19/V17)</f>
        <v/>
      </c>
      <c r="W20" s="12" t="str">
        <f aca="false">IF(OR(W17="",W17=0),"",W19/W17)</f>
        <v/>
      </c>
      <c r="X20" s="12" t="str">
        <f aca="false">IF(OR(X17="",X17=0),"",X19/X17)</f>
        <v/>
      </c>
      <c r="Y20" s="12" t="str">
        <f aca="false">IF(OR(Y17="",Y17=0),"",Y19/Y17)</f>
        <v/>
      </c>
      <c r="Z20" s="12" t="str">
        <f aca="false">IF(OR(Z17="",Z17=0),"",Z19/Z17)</f>
        <v/>
      </c>
      <c r="AA20" s="26" t="str">
        <f aca="false">IF(OR($A$15="",AA17="",AA17=0),"",AA19/AA17)</f>
        <v/>
      </c>
    </row>
    <row r="22" customFormat="false" ht="15" hidden="false" customHeight="false" outlineLevel="0" collapsed="false">
      <c r="A22" s="40" t="str">
        <f aca="false">IF('Cost Margin'!$V$33="","",'Cost Margin'!$V$33)</f>
        <v/>
      </c>
      <c r="B22" s="36" t="s">
        <v>62</v>
      </c>
      <c r="C22" s="22" t="str">
        <f aca="false">IF(OR($A$22="",Monthly!C$5=""),"",SUMPRODUCT((Monthly!$AB$31:$AB$50=$A$22)*(Monthly!C$31:C$50&gt;0)))</f>
        <v/>
      </c>
      <c r="D22" s="22" t="str">
        <f aca="false">IF(OR($A$22="",Monthly!D$5=""),"",SUMPRODUCT((Monthly!$AB$31:$AB$50=$A$22)*(Monthly!D$31:D$50&gt;0)))</f>
        <v/>
      </c>
      <c r="E22" s="22" t="str">
        <f aca="false">IF(OR($A$22="",Monthly!E$5=""),"",SUMPRODUCT((Monthly!$AB$31:$AB$50=$A$22)*(Monthly!E$31:E$50&gt;0)))</f>
        <v/>
      </c>
      <c r="F22" s="22" t="str">
        <f aca="false">IF(OR($A$22="",Monthly!F$5=""),"",SUMPRODUCT((Monthly!$AB$31:$AB$50=$A$22)*(Monthly!F$31:F$50&gt;0)))</f>
        <v/>
      </c>
      <c r="G22" s="22" t="str">
        <f aca="false">IF(OR($A$22="",Monthly!G$5=""),"",SUMPRODUCT((Monthly!$AB$31:$AB$50=$A$22)*(Monthly!G$31:G$50&gt;0)))</f>
        <v/>
      </c>
      <c r="H22" s="22" t="str">
        <f aca="false">IF(OR($A$22="",Monthly!H$5=""),"",SUMPRODUCT((Monthly!$AB$31:$AB$50=$A$22)*(Monthly!H$31:H$50&gt;0)))</f>
        <v/>
      </c>
      <c r="I22" s="22" t="str">
        <f aca="false">IF(OR($A$22="",Monthly!I$5=""),"",SUMPRODUCT((Monthly!$AB$31:$AB$50=$A$22)*(Monthly!I$31:I$50&gt;0)))</f>
        <v/>
      </c>
      <c r="J22" s="22" t="str">
        <f aca="false">IF(OR($A$22="",Monthly!J$5=""),"",SUMPRODUCT((Monthly!$AB$31:$AB$50=$A$22)*(Monthly!J$31:J$50&gt;0)))</f>
        <v/>
      </c>
      <c r="K22" s="22" t="str">
        <f aca="false">IF(OR($A$22="",Monthly!K$5=""),"",SUMPRODUCT((Monthly!$AB$31:$AB$50=$A$22)*(Monthly!K$31:K$50&gt;0)))</f>
        <v/>
      </c>
      <c r="L22" s="22" t="str">
        <f aca="false">IF(OR($A$22="",Monthly!L$5=""),"",SUMPRODUCT((Monthly!$AB$31:$AB$50=$A$22)*(Monthly!L$31:L$50&gt;0)))</f>
        <v/>
      </c>
      <c r="M22" s="22" t="str">
        <f aca="false">IF(OR($A$22="",Monthly!M$5=""),"",SUMPRODUCT((Monthly!$AB$31:$AB$50=$A$22)*(Monthly!M$31:M$50&gt;0)))</f>
        <v/>
      </c>
      <c r="N22" s="22" t="str">
        <f aca="false">IF(OR($A$22="",Monthly!N$5=""),"",SUMPRODUCT((Monthly!$AB$31:$AB$50=$A$22)*(Monthly!N$31:N$50&gt;0)))</f>
        <v/>
      </c>
      <c r="O22" s="22" t="str">
        <f aca="false">IF(OR($A$22="",Monthly!O$5=""),"",SUMPRODUCT((Monthly!$AB$31:$AB$50=$A$22)*(Monthly!O$31:O$50&gt;0)))</f>
        <v/>
      </c>
      <c r="P22" s="22" t="str">
        <f aca="false">IF(OR($A$22="",Monthly!P$5=""),"",SUMPRODUCT((Monthly!$AB$31:$AB$50=$A$22)*(Monthly!P$31:P$50&gt;0)))</f>
        <v/>
      </c>
      <c r="Q22" s="22" t="str">
        <f aca="false">IF(OR($A$22="",Monthly!Q$5=""),"",SUMPRODUCT((Monthly!$AB$31:$AB$50=$A$22)*(Monthly!Q$31:Q$50&gt;0)))</f>
        <v/>
      </c>
      <c r="R22" s="22" t="str">
        <f aca="false">IF(OR($A$22="",Monthly!R$5=""),"",SUMPRODUCT((Monthly!$AB$31:$AB$50=$A$22)*(Monthly!R$31:R$50&gt;0)))</f>
        <v/>
      </c>
      <c r="S22" s="22" t="str">
        <f aca="false">IF(OR($A$22="",Monthly!S$5=""),"",SUMPRODUCT((Monthly!$AB$31:$AB$50=$A$22)*(Monthly!S$31:S$50&gt;0)))</f>
        <v/>
      </c>
      <c r="T22" s="22" t="str">
        <f aca="false">IF(OR($A$22="",Monthly!T$5=""),"",SUMPRODUCT((Monthly!$AB$31:$AB$50=$A$22)*(Monthly!T$31:T$50&gt;0)))</f>
        <v/>
      </c>
      <c r="U22" s="22" t="str">
        <f aca="false">IF(OR($A$22="",Monthly!U$5=""),"",SUMPRODUCT((Monthly!$AB$31:$AB$50=$A$22)*(Monthly!U$31:U$50&gt;0)))</f>
        <v/>
      </c>
      <c r="V22" s="22" t="str">
        <f aca="false">IF(OR($A$22="",Monthly!V$5=""),"",SUMPRODUCT((Monthly!$AB$31:$AB$50=$A$22)*(Monthly!V$31:V$50&gt;0)))</f>
        <v/>
      </c>
      <c r="W22" s="22" t="str">
        <f aca="false">IF(OR($A$22="",Monthly!W$5=""),"",SUMPRODUCT((Monthly!$AB$31:$AB$50=$A$22)*(Monthly!W$31:W$50&gt;0)))</f>
        <v/>
      </c>
      <c r="X22" s="22" t="str">
        <f aca="false">IF(OR($A$22="",Monthly!X$5=""),"",SUMPRODUCT((Monthly!$AB$31:$AB$50=$A$22)*(Monthly!X$31:X$50&gt;0)))</f>
        <v/>
      </c>
      <c r="Y22" s="22" t="str">
        <f aca="false">IF(OR($A$22="",Monthly!Y$5=""),"",SUMPRODUCT((Monthly!$AB$31:$AB$50=$A$22)*(Monthly!Y$31:Y$50&gt;0)))</f>
        <v/>
      </c>
      <c r="Z22" s="22" t="str">
        <f aca="false">IF(OR($A$22="",Monthly!Z$5=""),"",SUMPRODUCT((Monthly!$AB$31:$AB$50=$A$22)*(Monthly!Z$31:Z$50&gt;0)))</f>
        <v/>
      </c>
      <c r="AA22" s="37" t="str">
        <f aca="false">IF($A$22="","",MAX(C22:Z22))</f>
        <v/>
      </c>
    </row>
    <row r="23" customFormat="false" ht="15" hidden="false" customHeight="false" outlineLevel="0" collapsed="false">
      <c r="B23" s="36" t="s">
        <v>149</v>
      </c>
      <c r="C23" s="35" t="str">
        <f aca="false">IF(OR($A$22="",Monthly!C$5=""),"",SUMIF(Monthly!$AB$31:$AB$50,$A$22,Monthly!C$31:C$50))</f>
        <v/>
      </c>
      <c r="D23" s="35" t="str">
        <f aca="false">IF(OR($A$22="",Monthly!D$5=""),"",SUMIF(Monthly!$AB$31:$AB$50,$A$22,Monthly!D$31:D$50))</f>
        <v/>
      </c>
      <c r="E23" s="35" t="str">
        <f aca="false">IF(OR($A$22="",Monthly!E$5=""),"",SUMIF(Monthly!$AB$31:$AB$50,$A$22,Monthly!E$31:E$50))</f>
        <v/>
      </c>
      <c r="F23" s="35" t="str">
        <f aca="false">IF(OR($A$22="",Monthly!F$5=""),"",SUMIF(Monthly!$AB$31:$AB$50,$A$22,Monthly!F$31:F$50))</f>
        <v/>
      </c>
      <c r="G23" s="35" t="str">
        <f aca="false">IF(OR($A$22="",Monthly!G$5=""),"",SUMIF(Monthly!$AB$31:$AB$50,$A$22,Monthly!G$31:G$50))</f>
        <v/>
      </c>
      <c r="H23" s="35" t="str">
        <f aca="false">IF(OR($A$22="",Monthly!H$5=""),"",SUMIF(Monthly!$AB$31:$AB$50,$A$22,Monthly!H$31:H$50))</f>
        <v/>
      </c>
      <c r="I23" s="35" t="str">
        <f aca="false">IF(OR($A$22="",Monthly!I$5=""),"",SUMIF(Monthly!$AB$31:$AB$50,$A$22,Monthly!I$31:I$50))</f>
        <v/>
      </c>
      <c r="J23" s="35" t="str">
        <f aca="false">IF(OR($A$22="",Monthly!J$5=""),"",SUMIF(Monthly!$AB$31:$AB$50,$A$22,Monthly!J$31:J$50))</f>
        <v/>
      </c>
      <c r="K23" s="35" t="str">
        <f aca="false">IF(OR($A$22="",Monthly!K$5=""),"",SUMIF(Monthly!$AB$31:$AB$50,$A$22,Monthly!K$31:K$50))</f>
        <v/>
      </c>
      <c r="L23" s="35" t="str">
        <f aca="false">IF(OR($A$22="",Monthly!L$5=""),"",SUMIF(Monthly!$AB$31:$AB$50,$A$22,Monthly!L$31:L$50))</f>
        <v/>
      </c>
      <c r="M23" s="35" t="str">
        <f aca="false">IF(OR($A$22="",Monthly!M$5=""),"",SUMIF(Monthly!$AB$31:$AB$50,$A$22,Monthly!M$31:M$50))</f>
        <v/>
      </c>
      <c r="N23" s="35" t="str">
        <f aca="false">IF(OR($A$22="",Monthly!N$5=""),"",SUMIF(Monthly!$AB$31:$AB$50,$A$22,Monthly!N$31:N$50))</f>
        <v/>
      </c>
      <c r="O23" s="35" t="str">
        <f aca="false">IF(OR($A$22="",Monthly!O$5=""),"",SUMIF(Monthly!$AB$31:$AB$50,$A$22,Monthly!O$31:O$50))</f>
        <v/>
      </c>
      <c r="P23" s="35" t="str">
        <f aca="false">IF(OR($A$22="",Monthly!P$5=""),"",SUMIF(Monthly!$AB$31:$AB$50,$A$22,Monthly!P$31:P$50))</f>
        <v/>
      </c>
      <c r="Q23" s="35" t="str">
        <f aca="false">IF(OR($A$22="",Monthly!Q$5=""),"",SUMIF(Monthly!$AB$31:$AB$50,$A$22,Monthly!Q$31:Q$50))</f>
        <v/>
      </c>
      <c r="R23" s="35" t="str">
        <f aca="false">IF(OR($A$22="",Monthly!R$5=""),"",SUMIF(Monthly!$AB$31:$AB$50,$A$22,Monthly!R$31:R$50))</f>
        <v/>
      </c>
      <c r="S23" s="35" t="str">
        <f aca="false">IF(OR($A$22="",Monthly!S$5=""),"",SUMIF(Monthly!$AB$31:$AB$50,$A$22,Monthly!S$31:S$50))</f>
        <v/>
      </c>
      <c r="T23" s="35" t="str">
        <f aca="false">IF(OR($A$22="",Monthly!T$5=""),"",SUMIF(Monthly!$AB$31:$AB$50,$A$22,Monthly!T$31:T$50))</f>
        <v/>
      </c>
      <c r="U23" s="35" t="str">
        <f aca="false">IF(OR($A$22="",Monthly!U$5=""),"",SUMIF(Monthly!$AB$31:$AB$50,$A$22,Monthly!U$31:U$50))</f>
        <v/>
      </c>
      <c r="V23" s="35" t="str">
        <f aca="false">IF(OR($A$22="",Monthly!V$5=""),"",SUMIF(Monthly!$AB$31:$AB$50,$A$22,Monthly!V$31:V$50))</f>
        <v/>
      </c>
      <c r="W23" s="35" t="str">
        <f aca="false">IF(OR($A$22="",Monthly!W$5=""),"",SUMIF(Monthly!$AB$31:$AB$50,$A$22,Monthly!W$31:W$50))</f>
        <v/>
      </c>
      <c r="X23" s="35" t="str">
        <f aca="false">IF(OR($A$22="",Monthly!X$5=""),"",SUMIF(Monthly!$AB$31:$AB$50,$A$22,Monthly!X$31:X$50))</f>
        <v/>
      </c>
      <c r="Y23" s="35" t="str">
        <f aca="false">IF(OR($A$22="",Monthly!Y$5=""),"",SUMIF(Monthly!$AB$31:$AB$50,$A$22,Monthly!Y$31:Y$50))</f>
        <v/>
      </c>
      <c r="Z23" s="35" t="str">
        <f aca="false">IF(OR($A$22="",Monthly!Z$5=""),"",SUMIF(Monthly!$AB$31:$AB$50,$A$22,Monthly!Z$31:Z$50))</f>
        <v/>
      </c>
      <c r="AA23" s="24" t="str">
        <f aca="false">IF($A$22="","",SUM(C23:Z23))</f>
        <v/>
      </c>
    </row>
    <row r="24" customFormat="false" ht="15" hidden="false" customHeight="false" outlineLevel="0" collapsed="false">
      <c r="B24" s="3" t="s">
        <v>151</v>
      </c>
      <c r="C24" s="7" t="str">
        <f aca="false">IF(OR($A$22="",Monthly!C$5=""),"",SUMIF(Monthly!$AB$31:$AB$50,$A$22,Monthly!C$53:C$72))</f>
        <v/>
      </c>
      <c r="D24" s="7" t="str">
        <f aca="false">IF(OR($A$22="",Monthly!D$5=""),"",SUMIF(Monthly!$AB$31:$AB$50,$A$22,Monthly!D$53:D$72))</f>
        <v/>
      </c>
      <c r="E24" s="7" t="str">
        <f aca="false">IF(OR($A$22="",Monthly!E$5=""),"",SUMIF(Monthly!$AB$31:$AB$50,$A$22,Monthly!E$53:E$72))</f>
        <v/>
      </c>
      <c r="F24" s="7" t="str">
        <f aca="false">IF(OR($A$22="",Monthly!F$5=""),"",SUMIF(Monthly!$AB$31:$AB$50,$A$22,Monthly!F$53:F$72))</f>
        <v/>
      </c>
      <c r="G24" s="7" t="str">
        <f aca="false">IF(OR($A$22="",Monthly!G$5=""),"",SUMIF(Monthly!$AB$31:$AB$50,$A$22,Monthly!G$53:G$72))</f>
        <v/>
      </c>
      <c r="H24" s="7" t="str">
        <f aca="false">IF(OR($A$22="",Monthly!H$5=""),"",SUMIF(Monthly!$AB$31:$AB$50,$A$22,Monthly!H$53:H$72))</f>
        <v/>
      </c>
      <c r="I24" s="7" t="str">
        <f aca="false">IF(OR($A$22="",Monthly!I$5=""),"",SUMIF(Monthly!$AB$31:$AB$50,$A$22,Monthly!I$53:I$72))</f>
        <v/>
      </c>
      <c r="J24" s="7" t="str">
        <f aca="false">IF(OR($A$22="",Monthly!J$5=""),"",SUMIF(Monthly!$AB$31:$AB$50,$A$22,Monthly!J$53:J$72))</f>
        <v/>
      </c>
      <c r="K24" s="7" t="str">
        <f aca="false">IF(OR($A$22="",Monthly!K$5=""),"",SUMIF(Monthly!$AB$31:$AB$50,$A$22,Monthly!K$53:K$72))</f>
        <v/>
      </c>
      <c r="L24" s="7" t="str">
        <f aca="false">IF(OR($A$22="",Monthly!L$5=""),"",SUMIF(Monthly!$AB$31:$AB$50,$A$22,Monthly!L$53:L$72))</f>
        <v/>
      </c>
      <c r="M24" s="7" t="str">
        <f aca="false">IF(OR($A$22="",Monthly!M$5=""),"",SUMIF(Monthly!$AB$31:$AB$50,$A$22,Monthly!M$53:M$72))</f>
        <v/>
      </c>
      <c r="N24" s="7" t="str">
        <f aca="false">IF(OR($A$22="",Monthly!N$5=""),"",SUMIF(Monthly!$AB$31:$AB$50,$A$22,Monthly!N$53:N$72))</f>
        <v/>
      </c>
      <c r="O24" s="7" t="str">
        <f aca="false">IF(OR($A$22="",Monthly!O$5=""),"",SUMIF(Monthly!$AB$31:$AB$50,$A$22,Monthly!O$53:O$72))</f>
        <v/>
      </c>
      <c r="P24" s="7" t="str">
        <f aca="false">IF(OR($A$22="",Monthly!P$5=""),"",SUMIF(Monthly!$AB$31:$AB$50,$A$22,Monthly!P$53:P$72))</f>
        <v/>
      </c>
      <c r="Q24" s="7" t="str">
        <f aca="false">IF(OR($A$22="",Monthly!Q$5=""),"",SUMIF(Monthly!$AB$31:$AB$50,$A$22,Monthly!Q$53:Q$72))</f>
        <v/>
      </c>
      <c r="R24" s="7" t="str">
        <f aca="false">IF(OR($A$22="",Monthly!R$5=""),"",SUMIF(Monthly!$AB$31:$AB$50,$A$22,Monthly!R$53:R$72))</f>
        <v/>
      </c>
      <c r="S24" s="7" t="str">
        <f aca="false">IF(OR($A$22="",Monthly!S$5=""),"",SUMIF(Monthly!$AB$31:$AB$50,$A$22,Monthly!S$53:S$72))</f>
        <v/>
      </c>
      <c r="T24" s="7" t="str">
        <f aca="false">IF(OR($A$22="",Monthly!T$5=""),"",SUMIF(Monthly!$AB$31:$AB$50,$A$22,Monthly!T$53:T$72))</f>
        <v/>
      </c>
      <c r="U24" s="7" t="str">
        <f aca="false">IF(OR($A$22="",Monthly!U$5=""),"",SUMIF(Monthly!$AB$31:$AB$50,$A$22,Monthly!U$53:U$72))</f>
        <v/>
      </c>
      <c r="V24" s="7" t="str">
        <f aca="false">IF(OR($A$22="",Monthly!V$5=""),"",SUMIF(Monthly!$AB$31:$AB$50,$A$22,Monthly!V$53:V$72))</f>
        <v/>
      </c>
      <c r="W24" s="7" t="str">
        <f aca="false">IF(OR($A$22="",Monthly!W$5=""),"",SUMIF(Monthly!$AB$31:$AB$50,$A$22,Monthly!W$53:W$72))</f>
        <v/>
      </c>
      <c r="X24" s="7" t="str">
        <f aca="false">IF(OR($A$22="",Monthly!X$5=""),"",SUMIF(Monthly!$AB$31:$AB$50,$A$22,Monthly!X$53:X$72))</f>
        <v/>
      </c>
      <c r="Y24" s="7" t="str">
        <f aca="false">IF(OR($A$22="",Monthly!Y$5=""),"",SUMIF(Monthly!$AB$31:$AB$50,$A$22,Monthly!Y$53:Y$72))</f>
        <v/>
      </c>
      <c r="Z24" s="7" t="str">
        <f aca="false">IF(OR($A$22="",Monthly!Z$5=""),"",SUMIF(Monthly!$AB$31:$AB$50,$A$22,Monthly!Z$53:Z$72))</f>
        <v/>
      </c>
      <c r="AA24" s="25" t="str">
        <f aca="false">IF($A$22="","",SUM(C24:Z24))</f>
        <v/>
      </c>
    </row>
    <row r="25" customFormat="false" ht="15" hidden="false" customHeight="false" outlineLevel="0" collapsed="false">
      <c r="B25" s="36" t="s">
        <v>160</v>
      </c>
      <c r="C25" s="7" t="str">
        <f aca="false">IF(OR($A$22="",Monthly!C$5=""),"",SUMIF(Monthly!$AB$31:$AB$50,$A$22,Monthly!C$75:C$94))</f>
        <v/>
      </c>
      <c r="D25" s="7" t="str">
        <f aca="false">IF(OR($A$22="",Monthly!D$5=""),"",SUMIF(Monthly!$AB$31:$AB$50,$A$22,Monthly!D$75:D$94))</f>
        <v/>
      </c>
      <c r="E25" s="7" t="str">
        <f aca="false">IF(OR($A$22="",Monthly!E$5=""),"",SUMIF(Monthly!$AB$31:$AB$50,$A$22,Monthly!E$75:E$94))</f>
        <v/>
      </c>
      <c r="F25" s="7" t="str">
        <f aca="false">IF(OR($A$22="",Monthly!F$5=""),"",SUMIF(Monthly!$AB$31:$AB$50,$A$22,Monthly!F$75:F$94))</f>
        <v/>
      </c>
      <c r="G25" s="7" t="str">
        <f aca="false">IF(OR($A$22="",Monthly!G$5=""),"",SUMIF(Monthly!$AB$31:$AB$50,$A$22,Monthly!G$75:G$94))</f>
        <v/>
      </c>
      <c r="H25" s="7" t="str">
        <f aca="false">IF(OR($A$22="",Monthly!H$5=""),"",SUMIF(Monthly!$AB$31:$AB$50,$A$22,Monthly!H$75:H$94))</f>
        <v/>
      </c>
      <c r="I25" s="7" t="str">
        <f aca="false">IF(OR($A$22="",Monthly!I$5=""),"",SUMIF(Monthly!$AB$31:$AB$50,$A$22,Monthly!I$75:I$94))</f>
        <v/>
      </c>
      <c r="J25" s="7" t="str">
        <f aca="false">IF(OR($A$22="",Monthly!J$5=""),"",SUMIF(Monthly!$AB$31:$AB$50,$A$22,Monthly!J$75:J$94))</f>
        <v/>
      </c>
      <c r="K25" s="7" t="str">
        <f aca="false">IF(OR($A$22="",Monthly!K$5=""),"",SUMIF(Monthly!$AB$31:$AB$50,$A$22,Monthly!K$75:K$94))</f>
        <v/>
      </c>
      <c r="L25" s="7" t="str">
        <f aca="false">IF(OR($A$22="",Monthly!L$5=""),"",SUMIF(Monthly!$AB$31:$AB$50,$A$22,Monthly!L$75:L$94))</f>
        <v/>
      </c>
      <c r="M25" s="7" t="str">
        <f aca="false">IF(OR($A$22="",Monthly!M$5=""),"",SUMIF(Monthly!$AB$31:$AB$50,$A$22,Monthly!M$75:M$94))</f>
        <v/>
      </c>
      <c r="N25" s="7" t="str">
        <f aca="false">IF(OR($A$22="",Monthly!N$5=""),"",SUMIF(Monthly!$AB$31:$AB$50,$A$22,Monthly!N$75:N$94))</f>
        <v/>
      </c>
      <c r="O25" s="7" t="str">
        <f aca="false">IF(OR($A$22="",Monthly!O$5=""),"",SUMIF(Monthly!$AB$31:$AB$50,$A$22,Monthly!O$75:O$94))</f>
        <v/>
      </c>
      <c r="P25" s="7" t="str">
        <f aca="false">IF(OR($A$22="",Monthly!P$5=""),"",SUMIF(Monthly!$AB$31:$AB$50,$A$22,Monthly!P$75:P$94))</f>
        <v/>
      </c>
      <c r="Q25" s="7" t="str">
        <f aca="false">IF(OR($A$22="",Monthly!Q$5=""),"",SUMIF(Monthly!$AB$31:$AB$50,$A$22,Monthly!Q$75:Q$94))</f>
        <v/>
      </c>
      <c r="R25" s="7" t="str">
        <f aca="false">IF(OR($A$22="",Monthly!R$5=""),"",SUMIF(Monthly!$AB$31:$AB$50,$A$22,Monthly!R$75:R$94))</f>
        <v/>
      </c>
      <c r="S25" s="7" t="str">
        <f aca="false">IF(OR($A$22="",Monthly!S$5=""),"",SUMIF(Monthly!$AB$31:$AB$50,$A$22,Monthly!S$75:S$94))</f>
        <v/>
      </c>
      <c r="T25" s="7" t="str">
        <f aca="false">IF(OR($A$22="",Monthly!T$5=""),"",SUMIF(Monthly!$AB$31:$AB$50,$A$22,Monthly!T$75:T$94))</f>
        <v/>
      </c>
      <c r="U25" s="7" t="str">
        <f aca="false">IF(OR($A$22="",Monthly!U$5=""),"",SUMIF(Monthly!$AB$31:$AB$50,$A$22,Monthly!U$75:U$94))</f>
        <v/>
      </c>
      <c r="V25" s="7" t="str">
        <f aca="false">IF(OR($A$22="",Monthly!V$5=""),"",SUMIF(Monthly!$AB$31:$AB$50,$A$22,Monthly!V$75:V$94))</f>
        <v/>
      </c>
      <c r="W25" s="7" t="str">
        <f aca="false">IF(OR($A$22="",Monthly!W$5=""),"",SUMIF(Monthly!$AB$31:$AB$50,$A$22,Monthly!W$75:W$94))</f>
        <v/>
      </c>
      <c r="X25" s="7" t="str">
        <f aca="false">IF(OR($A$22="",Monthly!X$5=""),"",SUMIF(Monthly!$AB$31:$AB$50,$A$22,Monthly!X$75:X$94))</f>
        <v/>
      </c>
      <c r="Y25" s="7" t="str">
        <f aca="false">IF(OR($A$22="",Monthly!Y$5=""),"",SUMIF(Monthly!$AB$31:$AB$50,$A$22,Monthly!Y$75:Y$94))</f>
        <v/>
      </c>
      <c r="Z25" s="7" t="str">
        <f aca="false">IF(OR($A$22="",Monthly!Z$5=""),"",SUMIF(Monthly!$AB$31:$AB$50,$A$22,Monthly!Z$75:Z$94))</f>
        <v/>
      </c>
      <c r="AA25" s="25" t="str">
        <f aca="false">IF($A$22="","",SUM(C25:Z25))</f>
        <v/>
      </c>
    </row>
    <row r="26" customFormat="false" ht="15" hidden="false" customHeight="false" outlineLevel="0" collapsed="false">
      <c r="B26" s="3" t="s">
        <v>25</v>
      </c>
      <c r="C26" s="7" t="str">
        <f aca="false">IF(C24="","",C24-C25)</f>
        <v/>
      </c>
      <c r="D26" s="7" t="str">
        <f aca="false">IF(D24="","",D24-D25)</f>
        <v/>
      </c>
      <c r="E26" s="7" t="str">
        <f aca="false">IF(E24="","",E24-E25)</f>
        <v/>
      </c>
      <c r="F26" s="7" t="str">
        <f aca="false">IF(F24="","",F24-F25)</f>
        <v/>
      </c>
      <c r="G26" s="7" t="str">
        <f aca="false">IF(G24="","",G24-G25)</f>
        <v/>
      </c>
      <c r="H26" s="7" t="str">
        <f aca="false">IF(H24="","",H24-H25)</f>
        <v/>
      </c>
      <c r="I26" s="7" t="str">
        <f aca="false">IF(I24="","",I24-I25)</f>
        <v/>
      </c>
      <c r="J26" s="7" t="str">
        <f aca="false">IF(J24="","",J24-J25)</f>
        <v/>
      </c>
      <c r="K26" s="7" t="str">
        <f aca="false">IF(K24="","",K24-K25)</f>
        <v/>
      </c>
      <c r="L26" s="7" t="str">
        <f aca="false">IF(L24="","",L24-L25)</f>
        <v/>
      </c>
      <c r="M26" s="7" t="str">
        <f aca="false">IF(M24="","",M24-M25)</f>
        <v/>
      </c>
      <c r="N26" s="7" t="str">
        <f aca="false">IF(N24="","",N24-N25)</f>
        <v/>
      </c>
      <c r="O26" s="7" t="str">
        <f aca="false">IF(O24="","",O24-O25)</f>
        <v/>
      </c>
      <c r="P26" s="7" t="str">
        <f aca="false">IF(P24="","",P24-P25)</f>
        <v/>
      </c>
      <c r="Q26" s="7" t="str">
        <f aca="false">IF(Q24="","",Q24-Q25)</f>
        <v/>
      </c>
      <c r="R26" s="7" t="str">
        <f aca="false">IF(R24="","",R24-R25)</f>
        <v/>
      </c>
      <c r="S26" s="7" t="str">
        <f aca="false">IF(S24="","",S24-S25)</f>
        <v/>
      </c>
      <c r="T26" s="7" t="str">
        <f aca="false">IF(T24="","",T24-T25)</f>
        <v/>
      </c>
      <c r="U26" s="7" t="str">
        <f aca="false">IF(U24="","",U24-U25)</f>
        <v/>
      </c>
      <c r="V26" s="7" t="str">
        <f aca="false">IF(V24="","",V24-V25)</f>
        <v/>
      </c>
      <c r="W26" s="7" t="str">
        <f aca="false">IF(W24="","",W24-W25)</f>
        <v/>
      </c>
      <c r="X26" s="7" t="str">
        <f aca="false">IF(X24="","",X24-X25)</f>
        <v/>
      </c>
      <c r="Y26" s="7" t="str">
        <f aca="false">IF(Y24="","",Y24-Y25)</f>
        <v/>
      </c>
      <c r="Z26" s="7" t="str">
        <f aca="false">IF(Z24="","",Z24-Z25)</f>
        <v/>
      </c>
      <c r="AA26" s="25" t="str">
        <f aca="false">IF($A$22="","",SUM(C26:Z26))</f>
        <v/>
      </c>
    </row>
    <row r="27" customFormat="false" ht="15" hidden="false" customHeight="false" outlineLevel="0" collapsed="false">
      <c r="B27" s="3" t="s">
        <v>27</v>
      </c>
      <c r="C27" s="12" t="str">
        <f aca="false">IF(OR(C24="",C24=0),"",C26/C24)</f>
        <v/>
      </c>
      <c r="D27" s="12" t="str">
        <f aca="false">IF(OR(D24="",D24=0),"",D26/D24)</f>
        <v/>
      </c>
      <c r="E27" s="12" t="str">
        <f aca="false">IF(OR(E24="",E24=0),"",E26/E24)</f>
        <v/>
      </c>
      <c r="F27" s="12" t="str">
        <f aca="false">IF(OR(F24="",F24=0),"",F26/F24)</f>
        <v/>
      </c>
      <c r="G27" s="12" t="str">
        <f aca="false">IF(OR(G24="",G24=0),"",G26/G24)</f>
        <v/>
      </c>
      <c r="H27" s="12" t="str">
        <f aca="false">IF(OR(H24="",H24=0),"",H26/H24)</f>
        <v/>
      </c>
      <c r="I27" s="12" t="str">
        <f aca="false">IF(OR(I24="",I24=0),"",I26/I24)</f>
        <v/>
      </c>
      <c r="J27" s="12" t="str">
        <f aca="false">IF(OR(J24="",J24=0),"",J26/J24)</f>
        <v/>
      </c>
      <c r="K27" s="12" t="str">
        <f aca="false">IF(OR(K24="",K24=0),"",K26/K24)</f>
        <v/>
      </c>
      <c r="L27" s="12" t="str">
        <f aca="false">IF(OR(L24="",L24=0),"",L26/L24)</f>
        <v/>
      </c>
      <c r="M27" s="12" t="str">
        <f aca="false">IF(OR(M24="",M24=0),"",M26/M24)</f>
        <v/>
      </c>
      <c r="N27" s="12" t="str">
        <f aca="false">IF(OR(N24="",N24=0),"",N26/N24)</f>
        <v/>
      </c>
      <c r="O27" s="12" t="str">
        <f aca="false">IF(OR(O24="",O24=0),"",O26/O24)</f>
        <v/>
      </c>
      <c r="P27" s="12" t="str">
        <f aca="false">IF(OR(P24="",P24=0),"",P26/P24)</f>
        <v/>
      </c>
      <c r="Q27" s="12" t="str">
        <f aca="false">IF(OR(Q24="",Q24=0),"",Q26/Q24)</f>
        <v/>
      </c>
      <c r="R27" s="12" t="str">
        <f aca="false">IF(OR(R24="",R24=0),"",R26/R24)</f>
        <v/>
      </c>
      <c r="S27" s="12" t="str">
        <f aca="false">IF(OR(S24="",S24=0),"",S26/S24)</f>
        <v/>
      </c>
      <c r="T27" s="12" t="str">
        <f aca="false">IF(OR(T24="",T24=0),"",T26/T24)</f>
        <v/>
      </c>
      <c r="U27" s="12" t="str">
        <f aca="false">IF(OR(U24="",U24=0),"",U26/U24)</f>
        <v/>
      </c>
      <c r="V27" s="12" t="str">
        <f aca="false">IF(OR(V24="",V24=0),"",V26/V24)</f>
        <v/>
      </c>
      <c r="W27" s="12" t="str">
        <f aca="false">IF(OR(W24="",W24=0),"",W26/W24)</f>
        <v/>
      </c>
      <c r="X27" s="12" t="str">
        <f aca="false">IF(OR(X24="",X24=0),"",X26/X24)</f>
        <v/>
      </c>
      <c r="Y27" s="12" t="str">
        <f aca="false">IF(OR(Y24="",Y24=0),"",Y26/Y24)</f>
        <v/>
      </c>
      <c r="Z27" s="12" t="str">
        <f aca="false">IF(OR(Z24="",Z24=0),"",Z26/Z24)</f>
        <v/>
      </c>
      <c r="AA27" s="26" t="str">
        <f aca="false">IF(OR($A$22="",AA24="",AA24=0),"",AA26/AA24)</f>
        <v/>
      </c>
    </row>
    <row r="29" customFormat="false" ht="15" hidden="false" customHeight="false" outlineLevel="0" collapsed="false">
      <c r="A29" s="40" t="str">
        <f aca="false">IF('Cost Margin'!$V$34="","",'Cost Margin'!$V$34)</f>
        <v/>
      </c>
      <c r="B29" s="36" t="s">
        <v>62</v>
      </c>
      <c r="C29" s="22" t="str">
        <f aca="false">IF(OR($A$29="",Monthly!C$5=""),"",SUMPRODUCT((Monthly!$AB$31:$AB$50=$A$29)*(Monthly!C$31:C$50&gt;0)))</f>
        <v/>
      </c>
      <c r="D29" s="22" t="str">
        <f aca="false">IF(OR($A$29="",Monthly!D$5=""),"",SUMPRODUCT((Monthly!$AB$31:$AB$50=$A$29)*(Monthly!D$31:D$50&gt;0)))</f>
        <v/>
      </c>
      <c r="E29" s="22" t="str">
        <f aca="false">IF(OR($A$29="",Monthly!E$5=""),"",SUMPRODUCT((Monthly!$AB$31:$AB$50=$A$29)*(Monthly!E$31:E$50&gt;0)))</f>
        <v/>
      </c>
      <c r="F29" s="22" t="str">
        <f aca="false">IF(OR($A$29="",Monthly!F$5=""),"",SUMPRODUCT((Monthly!$AB$31:$AB$50=$A$29)*(Monthly!F$31:F$50&gt;0)))</f>
        <v/>
      </c>
      <c r="G29" s="22" t="str">
        <f aca="false">IF(OR($A$29="",Monthly!G$5=""),"",SUMPRODUCT((Monthly!$AB$31:$AB$50=$A$29)*(Monthly!G$31:G$50&gt;0)))</f>
        <v/>
      </c>
      <c r="H29" s="22" t="str">
        <f aca="false">IF(OR($A$29="",Monthly!H$5=""),"",SUMPRODUCT((Monthly!$AB$31:$AB$50=$A$29)*(Monthly!H$31:H$50&gt;0)))</f>
        <v/>
      </c>
      <c r="I29" s="22" t="str">
        <f aca="false">IF(OR($A$29="",Monthly!I$5=""),"",SUMPRODUCT((Monthly!$AB$31:$AB$50=$A$29)*(Monthly!I$31:I$50&gt;0)))</f>
        <v/>
      </c>
      <c r="J29" s="22" t="str">
        <f aca="false">IF(OR($A$29="",Monthly!J$5=""),"",SUMPRODUCT((Monthly!$AB$31:$AB$50=$A$29)*(Monthly!J$31:J$50&gt;0)))</f>
        <v/>
      </c>
      <c r="K29" s="22" t="str">
        <f aca="false">IF(OR($A$29="",Monthly!K$5=""),"",SUMPRODUCT((Monthly!$AB$31:$AB$50=$A$29)*(Monthly!K$31:K$50&gt;0)))</f>
        <v/>
      </c>
      <c r="L29" s="22" t="str">
        <f aca="false">IF(OR($A$29="",Monthly!L$5=""),"",SUMPRODUCT((Monthly!$AB$31:$AB$50=$A$29)*(Monthly!L$31:L$50&gt;0)))</f>
        <v/>
      </c>
      <c r="M29" s="22" t="str">
        <f aca="false">IF(OR($A$29="",Monthly!M$5=""),"",SUMPRODUCT((Monthly!$AB$31:$AB$50=$A$29)*(Monthly!M$31:M$50&gt;0)))</f>
        <v/>
      </c>
      <c r="N29" s="22" t="str">
        <f aca="false">IF(OR($A$29="",Monthly!N$5=""),"",SUMPRODUCT((Monthly!$AB$31:$AB$50=$A$29)*(Monthly!N$31:N$50&gt;0)))</f>
        <v/>
      </c>
      <c r="O29" s="22" t="str">
        <f aca="false">IF(OR($A$29="",Monthly!O$5=""),"",SUMPRODUCT((Monthly!$AB$31:$AB$50=$A$29)*(Monthly!O$31:O$50&gt;0)))</f>
        <v/>
      </c>
      <c r="P29" s="22" t="str">
        <f aca="false">IF(OR($A$29="",Monthly!P$5=""),"",SUMPRODUCT((Monthly!$AB$31:$AB$50=$A$29)*(Monthly!P$31:P$50&gt;0)))</f>
        <v/>
      </c>
      <c r="Q29" s="22" t="str">
        <f aca="false">IF(OR($A$29="",Monthly!Q$5=""),"",SUMPRODUCT((Monthly!$AB$31:$AB$50=$A$29)*(Monthly!Q$31:Q$50&gt;0)))</f>
        <v/>
      </c>
      <c r="R29" s="22" t="str">
        <f aca="false">IF(OR($A$29="",Monthly!R$5=""),"",SUMPRODUCT((Monthly!$AB$31:$AB$50=$A$29)*(Monthly!R$31:R$50&gt;0)))</f>
        <v/>
      </c>
      <c r="S29" s="22" t="str">
        <f aca="false">IF(OR($A$29="",Monthly!S$5=""),"",SUMPRODUCT((Monthly!$AB$31:$AB$50=$A$29)*(Monthly!S$31:S$50&gt;0)))</f>
        <v/>
      </c>
      <c r="T29" s="22" t="str">
        <f aca="false">IF(OR($A$29="",Monthly!T$5=""),"",SUMPRODUCT((Monthly!$AB$31:$AB$50=$A$29)*(Monthly!T$31:T$50&gt;0)))</f>
        <v/>
      </c>
      <c r="U29" s="22" t="str">
        <f aca="false">IF(OR($A$29="",Monthly!U$5=""),"",SUMPRODUCT((Monthly!$AB$31:$AB$50=$A$29)*(Monthly!U$31:U$50&gt;0)))</f>
        <v/>
      </c>
      <c r="V29" s="22" t="str">
        <f aca="false">IF(OR($A$29="",Monthly!V$5=""),"",SUMPRODUCT((Monthly!$AB$31:$AB$50=$A$29)*(Monthly!V$31:V$50&gt;0)))</f>
        <v/>
      </c>
      <c r="W29" s="22" t="str">
        <f aca="false">IF(OR($A$29="",Monthly!W$5=""),"",SUMPRODUCT((Monthly!$AB$31:$AB$50=$A$29)*(Monthly!W$31:W$50&gt;0)))</f>
        <v/>
      </c>
      <c r="X29" s="22" t="str">
        <f aca="false">IF(OR($A$29="",Monthly!X$5=""),"",SUMPRODUCT((Monthly!$AB$31:$AB$50=$A$29)*(Monthly!X$31:X$50&gt;0)))</f>
        <v/>
      </c>
      <c r="Y29" s="22" t="str">
        <f aca="false">IF(OR($A$29="",Monthly!Y$5=""),"",SUMPRODUCT((Monthly!$AB$31:$AB$50=$A$29)*(Monthly!Y$31:Y$50&gt;0)))</f>
        <v/>
      </c>
      <c r="Z29" s="22" t="str">
        <f aca="false">IF(OR($A$29="",Monthly!Z$5=""),"",SUMPRODUCT((Monthly!$AB$31:$AB$50=$A$29)*(Monthly!Z$31:Z$50&gt;0)))</f>
        <v/>
      </c>
      <c r="AA29" s="37" t="str">
        <f aca="false">IF($A$29="","",MAX(C29:Z29))</f>
        <v/>
      </c>
    </row>
    <row r="30" customFormat="false" ht="15" hidden="false" customHeight="false" outlineLevel="0" collapsed="false">
      <c r="B30" s="36" t="s">
        <v>149</v>
      </c>
      <c r="C30" s="35" t="str">
        <f aca="false">IF(OR($A$29="",Monthly!C$5=""),"",SUMIF(Monthly!$AB$31:$AB$50,$A$29,Monthly!C$31:C$50))</f>
        <v/>
      </c>
      <c r="D30" s="35" t="str">
        <f aca="false">IF(OR($A$29="",Monthly!D$5=""),"",SUMIF(Monthly!$AB$31:$AB$50,$A$29,Monthly!D$31:D$50))</f>
        <v/>
      </c>
      <c r="E30" s="35" t="str">
        <f aca="false">IF(OR($A$29="",Monthly!E$5=""),"",SUMIF(Monthly!$AB$31:$AB$50,$A$29,Monthly!E$31:E$50))</f>
        <v/>
      </c>
      <c r="F30" s="35" t="str">
        <f aca="false">IF(OR($A$29="",Monthly!F$5=""),"",SUMIF(Monthly!$AB$31:$AB$50,$A$29,Monthly!F$31:F$50))</f>
        <v/>
      </c>
      <c r="G30" s="35" t="str">
        <f aca="false">IF(OR($A$29="",Monthly!G$5=""),"",SUMIF(Monthly!$AB$31:$AB$50,$A$29,Monthly!G$31:G$50))</f>
        <v/>
      </c>
      <c r="H30" s="35" t="str">
        <f aca="false">IF(OR($A$29="",Monthly!H$5=""),"",SUMIF(Monthly!$AB$31:$AB$50,$A$29,Monthly!H$31:H$50))</f>
        <v/>
      </c>
      <c r="I30" s="35" t="str">
        <f aca="false">IF(OR($A$29="",Monthly!I$5=""),"",SUMIF(Monthly!$AB$31:$AB$50,$A$29,Monthly!I$31:I$50))</f>
        <v/>
      </c>
      <c r="J30" s="35" t="str">
        <f aca="false">IF(OR($A$29="",Monthly!J$5=""),"",SUMIF(Monthly!$AB$31:$AB$50,$A$29,Monthly!J$31:J$50))</f>
        <v/>
      </c>
      <c r="K30" s="35" t="str">
        <f aca="false">IF(OR($A$29="",Monthly!K$5=""),"",SUMIF(Monthly!$AB$31:$AB$50,$A$29,Monthly!K$31:K$50))</f>
        <v/>
      </c>
      <c r="L30" s="35" t="str">
        <f aca="false">IF(OR($A$29="",Monthly!L$5=""),"",SUMIF(Monthly!$AB$31:$AB$50,$A$29,Monthly!L$31:L$50))</f>
        <v/>
      </c>
      <c r="M30" s="35" t="str">
        <f aca="false">IF(OR($A$29="",Monthly!M$5=""),"",SUMIF(Monthly!$AB$31:$AB$50,$A$29,Monthly!M$31:M$50))</f>
        <v/>
      </c>
      <c r="N30" s="35" t="str">
        <f aca="false">IF(OR($A$29="",Monthly!N$5=""),"",SUMIF(Monthly!$AB$31:$AB$50,$A$29,Monthly!N$31:N$50))</f>
        <v/>
      </c>
      <c r="O30" s="35" t="str">
        <f aca="false">IF(OR($A$29="",Monthly!O$5=""),"",SUMIF(Monthly!$AB$31:$AB$50,$A$29,Monthly!O$31:O$50))</f>
        <v/>
      </c>
      <c r="P30" s="35" t="str">
        <f aca="false">IF(OR($A$29="",Monthly!P$5=""),"",SUMIF(Monthly!$AB$31:$AB$50,$A$29,Monthly!P$31:P$50))</f>
        <v/>
      </c>
      <c r="Q30" s="35" t="str">
        <f aca="false">IF(OR($A$29="",Monthly!Q$5=""),"",SUMIF(Monthly!$AB$31:$AB$50,$A$29,Monthly!Q$31:Q$50))</f>
        <v/>
      </c>
      <c r="R30" s="35" t="str">
        <f aca="false">IF(OR($A$29="",Monthly!R$5=""),"",SUMIF(Monthly!$AB$31:$AB$50,$A$29,Monthly!R$31:R$50))</f>
        <v/>
      </c>
      <c r="S30" s="35" t="str">
        <f aca="false">IF(OR($A$29="",Monthly!S$5=""),"",SUMIF(Monthly!$AB$31:$AB$50,$A$29,Monthly!S$31:S$50))</f>
        <v/>
      </c>
      <c r="T30" s="35" t="str">
        <f aca="false">IF(OR($A$29="",Monthly!T$5=""),"",SUMIF(Monthly!$AB$31:$AB$50,$A$29,Monthly!T$31:T$50))</f>
        <v/>
      </c>
      <c r="U30" s="35" t="str">
        <f aca="false">IF(OR($A$29="",Monthly!U$5=""),"",SUMIF(Monthly!$AB$31:$AB$50,$A$29,Monthly!U$31:U$50))</f>
        <v/>
      </c>
      <c r="V30" s="35" t="str">
        <f aca="false">IF(OR($A$29="",Monthly!V$5=""),"",SUMIF(Monthly!$AB$31:$AB$50,$A$29,Monthly!V$31:V$50))</f>
        <v/>
      </c>
      <c r="W30" s="35" t="str">
        <f aca="false">IF(OR($A$29="",Monthly!W$5=""),"",SUMIF(Monthly!$AB$31:$AB$50,$A$29,Monthly!W$31:W$50))</f>
        <v/>
      </c>
      <c r="X30" s="35" t="str">
        <f aca="false">IF(OR($A$29="",Monthly!X$5=""),"",SUMIF(Monthly!$AB$31:$AB$50,$A$29,Monthly!X$31:X$50))</f>
        <v/>
      </c>
      <c r="Y30" s="35" t="str">
        <f aca="false">IF(OR($A$29="",Monthly!Y$5=""),"",SUMIF(Monthly!$AB$31:$AB$50,$A$29,Monthly!Y$31:Y$50))</f>
        <v/>
      </c>
      <c r="Z30" s="35" t="str">
        <f aca="false">IF(OR($A$29="",Monthly!Z$5=""),"",SUMIF(Monthly!$AB$31:$AB$50,$A$29,Monthly!Z$31:Z$50))</f>
        <v/>
      </c>
      <c r="AA30" s="24" t="str">
        <f aca="false">IF($A$29="","",SUM(C30:Z30))</f>
        <v/>
      </c>
    </row>
    <row r="31" customFormat="false" ht="15" hidden="false" customHeight="false" outlineLevel="0" collapsed="false">
      <c r="B31" s="3" t="s">
        <v>151</v>
      </c>
      <c r="C31" s="7" t="str">
        <f aca="false">IF(OR($A$29="",Monthly!C$5=""),"",SUMIF(Monthly!$AB$31:$AB$50,$A$29,Monthly!C$53:C$72))</f>
        <v/>
      </c>
      <c r="D31" s="7" t="str">
        <f aca="false">IF(OR($A$29="",Monthly!D$5=""),"",SUMIF(Monthly!$AB$31:$AB$50,$A$29,Monthly!D$53:D$72))</f>
        <v/>
      </c>
      <c r="E31" s="7" t="str">
        <f aca="false">IF(OR($A$29="",Monthly!E$5=""),"",SUMIF(Monthly!$AB$31:$AB$50,$A$29,Monthly!E$53:E$72))</f>
        <v/>
      </c>
      <c r="F31" s="7" t="str">
        <f aca="false">IF(OR($A$29="",Monthly!F$5=""),"",SUMIF(Monthly!$AB$31:$AB$50,$A$29,Monthly!F$53:F$72))</f>
        <v/>
      </c>
      <c r="G31" s="7" t="str">
        <f aca="false">IF(OR($A$29="",Monthly!G$5=""),"",SUMIF(Monthly!$AB$31:$AB$50,$A$29,Monthly!G$53:G$72))</f>
        <v/>
      </c>
      <c r="H31" s="7" t="str">
        <f aca="false">IF(OR($A$29="",Monthly!H$5=""),"",SUMIF(Monthly!$AB$31:$AB$50,$A$29,Monthly!H$53:H$72))</f>
        <v/>
      </c>
      <c r="I31" s="7" t="str">
        <f aca="false">IF(OR($A$29="",Monthly!I$5=""),"",SUMIF(Monthly!$AB$31:$AB$50,$A$29,Monthly!I$53:I$72))</f>
        <v/>
      </c>
      <c r="J31" s="7" t="str">
        <f aca="false">IF(OR($A$29="",Monthly!J$5=""),"",SUMIF(Monthly!$AB$31:$AB$50,$A$29,Monthly!J$53:J$72))</f>
        <v/>
      </c>
      <c r="K31" s="7" t="str">
        <f aca="false">IF(OR($A$29="",Monthly!K$5=""),"",SUMIF(Monthly!$AB$31:$AB$50,$A$29,Monthly!K$53:K$72))</f>
        <v/>
      </c>
      <c r="L31" s="7" t="str">
        <f aca="false">IF(OR($A$29="",Monthly!L$5=""),"",SUMIF(Monthly!$AB$31:$AB$50,$A$29,Monthly!L$53:L$72))</f>
        <v/>
      </c>
      <c r="M31" s="7" t="str">
        <f aca="false">IF(OR($A$29="",Monthly!M$5=""),"",SUMIF(Monthly!$AB$31:$AB$50,$A$29,Monthly!M$53:M$72))</f>
        <v/>
      </c>
      <c r="N31" s="7" t="str">
        <f aca="false">IF(OR($A$29="",Monthly!N$5=""),"",SUMIF(Monthly!$AB$31:$AB$50,$A$29,Monthly!N$53:N$72))</f>
        <v/>
      </c>
      <c r="O31" s="7" t="str">
        <f aca="false">IF(OR($A$29="",Monthly!O$5=""),"",SUMIF(Monthly!$AB$31:$AB$50,$A$29,Monthly!O$53:O$72))</f>
        <v/>
      </c>
      <c r="P31" s="7" t="str">
        <f aca="false">IF(OR($A$29="",Monthly!P$5=""),"",SUMIF(Monthly!$AB$31:$AB$50,$A$29,Monthly!P$53:P$72))</f>
        <v/>
      </c>
      <c r="Q31" s="7" t="str">
        <f aca="false">IF(OR($A$29="",Monthly!Q$5=""),"",SUMIF(Monthly!$AB$31:$AB$50,$A$29,Monthly!Q$53:Q$72))</f>
        <v/>
      </c>
      <c r="R31" s="7" t="str">
        <f aca="false">IF(OR($A$29="",Monthly!R$5=""),"",SUMIF(Monthly!$AB$31:$AB$50,$A$29,Monthly!R$53:R$72))</f>
        <v/>
      </c>
      <c r="S31" s="7" t="str">
        <f aca="false">IF(OR($A$29="",Monthly!S$5=""),"",SUMIF(Monthly!$AB$31:$AB$50,$A$29,Monthly!S$53:S$72))</f>
        <v/>
      </c>
      <c r="T31" s="7" t="str">
        <f aca="false">IF(OR($A$29="",Monthly!T$5=""),"",SUMIF(Monthly!$AB$31:$AB$50,$A$29,Monthly!T$53:T$72))</f>
        <v/>
      </c>
      <c r="U31" s="7" t="str">
        <f aca="false">IF(OR($A$29="",Monthly!U$5=""),"",SUMIF(Monthly!$AB$31:$AB$50,$A$29,Monthly!U$53:U$72))</f>
        <v/>
      </c>
      <c r="V31" s="7" t="str">
        <f aca="false">IF(OR($A$29="",Monthly!V$5=""),"",SUMIF(Monthly!$AB$31:$AB$50,$A$29,Monthly!V$53:V$72))</f>
        <v/>
      </c>
      <c r="W31" s="7" t="str">
        <f aca="false">IF(OR($A$29="",Monthly!W$5=""),"",SUMIF(Monthly!$AB$31:$AB$50,$A$29,Monthly!W$53:W$72))</f>
        <v/>
      </c>
      <c r="X31" s="7" t="str">
        <f aca="false">IF(OR($A$29="",Monthly!X$5=""),"",SUMIF(Monthly!$AB$31:$AB$50,$A$29,Monthly!X$53:X$72))</f>
        <v/>
      </c>
      <c r="Y31" s="7" t="str">
        <f aca="false">IF(OR($A$29="",Monthly!Y$5=""),"",SUMIF(Monthly!$AB$31:$AB$50,$A$29,Monthly!Y$53:Y$72))</f>
        <v/>
      </c>
      <c r="Z31" s="7" t="str">
        <f aca="false">IF(OR($A$29="",Monthly!Z$5=""),"",SUMIF(Monthly!$AB$31:$AB$50,$A$29,Monthly!Z$53:Z$72))</f>
        <v/>
      </c>
      <c r="AA31" s="25" t="str">
        <f aca="false">IF($A$29="","",SUM(C31:Z31))</f>
        <v/>
      </c>
    </row>
    <row r="32" customFormat="false" ht="15" hidden="false" customHeight="false" outlineLevel="0" collapsed="false">
      <c r="B32" s="36" t="s">
        <v>160</v>
      </c>
      <c r="C32" s="7" t="str">
        <f aca="false">IF(OR($A$29="",Monthly!C$5=""),"",SUMIF(Monthly!$AB$31:$AB$50,$A$29,Monthly!C$75:C$94))</f>
        <v/>
      </c>
      <c r="D32" s="7" t="str">
        <f aca="false">IF(OR($A$29="",Monthly!D$5=""),"",SUMIF(Monthly!$AB$31:$AB$50,$A$29,Monthly!D$75:D$94))</f>
        <v/>
      </c>
      <c r="E32" s="7" t="str">
        <f aca="false">IF(OR($A$29="",Monthly!E$5=""),"",SUMIF(Monthly!$AB$31:$AB$50,$A$29,Monthly!E$75:E$94))</f>
        <v/>
      </c>
      <c r="F32" s="7" t="str">
        <f aca="false">IF(OR($A$29="",Monthly!F$5=""),"",SUMIF(Monthly!$AB$31:$AB$50,$A$29,Monthly!F$75:F$94))</f>
        <v/>
      </c>
      <c r="G32" s="7" t="str">
        <f aca="false">IF(OR($A$29="",Monthly!G$5=""),"",SUMIF(Monthly!$AB$31:$AB$50,$A$29,Monthly!G$75:G$94))</f>
        <v/>
      </c>
      <c r="H32" s="7" t="str">
        <f aca="false">IF(OR($A$29="",Monthly!H$5=""),"",SUMIF(Monthly!$AB$31:$AB$50,$A$29,Monthly!H$75:H$94))</f>
        <v/>
      </c>
      <c r="I32" s="7" t="str">
        <f aca="false">IF(OR($A$29="",Monthly!I$5=""),"",SUMIF(Monthly!$AB$31:$AB$50,$A$29,Monthly!I$75:I$94))</f>
        <v/>
      </c>
      <c r="J32" s="7" t="str">
        <f aca="false">IF(OR($A$29="",Monthly!J$5=""),"",SUMIF(Monthly!$AB$31:$AB$50,$A$29,Monthly!J$75:J$94))</f>
        <v/>
      </c>
      <c r="K32" s="7" t="str">
        <f aca="false">IF(OR($A$29="",Monthly!K$5=""),"",SUMIF(Monthly!$AB$31:$AB$50,$A$29,Monthly!K$75:K$94))</f>
        <v/>
      </c>
      <c r="L32" s="7" t="str">
        <f aca="false">IF(OR($A$29="",Monthly!L$5=""),"",SUMIF(Monthly!$AB$31:$AB$50,$A$29,Monthly!L$75:L$94))</f>
        <v/>
      </c>
      <c r="M32" s="7" t="str">
        <f aca="false">IF(OR($A$29="",Monthly!M$5=""),"",SUMIF(Monthly!$AB$31:$AB$50,$A$29,Monthly!M$75:M$94))</f>
        <v/>
      </c>
      <c r="N32" s="7" t="str">
        <f aca="false">IF(OR($A$29="",Monthly!N$5=""),"",SUMIF(Monthly!$AB$31:$AB$50,$A$29,Monthly!N$75:N$94))</f>
        <v/>
      </c>
      <c r="O32" s="7" t="str">
        <f aca="false">IF(OR($A$29="",Monthly!O$5=""),"",SUMIF(Monthly!$AB$31:$AB$50,$A$29,Monthly!O$75:O$94))</f>
        <v/>
      </c>
      <c r="P32" s="7" t="str">
        <f aca="false">IF(OR($A$29="",Monthly!P$5=""),"",SUMIF(Monthly!$AB$31:$AB$50,$A$29,Monthly!P$75:P$94))</f>
        <v/>
      </c>
      <c r="Q32" s="7" t="str">
        <f aca="false">IF(OR($A$29="",Monthly!Q$5=""),"",SUMIF(Monthly!$AB$31:$AB$50,$A$29,Monthly!Q$75:Q$94))</f>
        <v/>
      </c>
      <c r="R32" s="7" t="str">
        <f aca="false">IF(OR($A$29="",Monthly!R$5=""),"",SUMIF(Monthly!$AB$31:$AB$50,$A$29,Monthly!R$75:R$94))</f>
        <v/>
      </c>
      <c r="S32" s="7" t="str">
        <f aca="false">IF(OR($A$29="",Monthly!S$5=""),"",SUMIF(Monthly!$AB$31:$AB$50,$A$29,Monthly!S$75:S$94))</f>
        <v/>
      </c>
      <c r="T32" s="7" t="str">
        <f aca="false">IF(OR($A$29="",Monthly!T$5=""),"",SUMIF(Monthly!$AB$31:$AB$50,$A$29,Monthly!T$75:T$94))</f>
        <v/>
      </c>
      <c r="U32" s="7" t="str">
        <f aca="false">IF(OR($A$29="",Monthly!U$5=""),"",SUMIF(Monthly!$AB$31:$AB$50,$A$29,Monthly!U$75:U$94))</f>
        <v/>
      </c>
      <c r="V32" s="7" t="str">
        <f aca="false">IF(OR($A$29="",Monthly!V$5=""),"",SUMIF(Monthly!$AB$31:$AB$50,$A$29,Monthly!V$75:V$94))</f>
        <v/>
      </c>
      <c r="W32" s="7" t="str">
        <f aca="false">IF(OR($A$29="",Monthly!W$5=""),"",SUMIF(Monthly!$AB$31:$AB$50,$A$29,Monthly!W$75:W$94))</f>
        <v/>
      </c>
      <c r="X32" s="7" t="str">
        <f aca="false">IF(OR($A$29="",Monthly!X$5=""),"",SUMIF(Monthly!$AB$31:$AB$50,$A$29,Monthly!X$75:X$94))</f>
        <v/>
      </c>
      <c r="Y32" s="7" t="str">
        <f aca="false">IF(OR($A$29="",Monthly!Y$5=""),"",SUMIF(Monthly!$AB$31:$AB$50,$A$29,Monthly!Y$75:Y$94))</f>
        <v/>
      </c>
      <c r="Z32" s="7" t="str">
        <f aca="false">IF(OR($A$29="",Monthly!Z$5=""),"",SUMIF(Monthly!$AB$31:$AB$50,$A$29,Monthly!Z$75:Z$94))</f>
        <v/>
      </c>
      <c r="AA32" s="25" t="str">
        <f aca="false">IF($A$29="","",SUM(C32:Z32))</f>
        <v/>
      </c>
    </row>
    <row r="33" customFormat="false" ht="15" hidden="false" customHeight="false" outlineLevel="0" collapsed="false">
      <c r="B33" s="3" t="s">
        <v>25</v>
      </c>
      <c r="C33" s="7" t="str">
        <f aca="false">IF(C31="","",C31-C32)</f>
        <v/>
      </c>
      <c r="D33" s="7" t="str">
        <f aca="false">IF(D31="","",D31-D32)</f>
        <v/>
      </c>
      <c r="E33" s="7" t="str">
        <f aca="false">IF(E31="","",E31-E32)</f>
        <v/>
      </c>
      <c r="F33" s="7" t="str">
        <f aca="false">IF(F31="","",F31-F32)</f>
        <v/>
      </c>
      <c r="G33" s="7" t="str">
        <f aca="false">IF(G31="","",G31-G32)</f>
        <v/>
      </c>
      <c r="H33" s="7" t="str">
        <f aca="false">IF(H31="","",H31-H32)</f>
        <v/>
      </c>
      <c r="I33" s="7" t="str">
        <f aca="false">IF(I31="","",I31-I32)</f>
        <v/>
      </c>
      <c r="J33" s="7" t="str">
        <f aca="false">IF(J31="","",J31-J32)</f>
        <v/>
      </c>
      <c r="K33" s="7" t="str">
        <f aca="false">IF(K31="","",K31-K32)</f>
        <v/>
      </c>
      <c r="L33" s="7" t="str">
        <f aca="false">IF(L31="","",L31-L32)</f>
        <v/>
      </c>
      <c r="M33" s="7" t="str">
        <f aca="false">IF(M31="","",M31-M32)</f>
        <v/>
      </c>
      <c r="N33" s="7" t="str">
        <f aca="false">IF(N31="","",N31-N32)</f>
        <v/>
      </c>
      <c r="O33" s="7" t="str">
        <f aca="false">IF(O31="","",O31-O32)</f>
        <v/>
      </c>
      <c r="P33" s="7" t="str">
        <f aca="false">IF(P31="","",P31-P32)</f>
        <v/>
      </c>
      <c r="Q33" s="7" t="str">
        <f aca="false">IF(Q31="","",Q31-Q32)</f>
        <v/>
      </c>
      <c r="R33" s="7" t="str">
        <f aca="false">IF(R31="","",R31-R32)</f>
        <v/>
      </c>
      <c r="S33" s="7" t="str">
        <f aca="false">IF(S31="","",S31-S32)</f>
        <v/>
      </c>
      <c r="T33" s="7" t="str">
        <f aca="false">IF(T31="","",T31-T32)</f>
        <v/>
      </c>
      <c r="U33" s="7" t="str">
        <f aca="false">IF(U31="","",U31-U32)</f>
        <v/>
      </c>
      <c r="V33" s="7" t="str">
        <f aca="false">IF(V31="","",V31-V32)</f>
        <v/>
      </c>
      <c r="W33" s="7" t="str">
        <f aca="false">IF(W31="","",W31-W32)</f>
        <v/>
      </c>
      <c r="X33" s="7" t="str">
        <f aca="false">IF(X31="","",X31-X32)</f>
        <v/>
      </c>
      <c r="Y33" s="7" t="str">
        <f aca="false">IF(Y31="","",Y31-Y32)</f>
        <v/>
      </c>
      <c r="Z33" s="7" t="str">
        <f aca="false">IF(Z31="","",Z31-Z32)</f>
        <v/>
      </c>
      <c r="AA33" s="25" t="str">
        <f aca="false">IF($A$29="","",SUM(C33:Z33))</f>
        <v/>
      </c>
    </row>
    <row r="34" customFormat="false" ht="15" hidden="false" customHeight="false" outlineLevel="0" collapsed="false">
      <c r="B34" s="3" t="s">
        <v>27</v>
      </c>
      <c r="C34" s="12" t="str">
        <f aca="false">IF(OR(C31="",C31=0),"",C33/C31)</f>
        <v/>
      </c>
      <c r="D34" s="12" t="str">
        <f aca="false">IF(OR(D31="",D31=0),"",D33/D31)</f>
        <v/>
      </c>
      <c r="E34" s="12" t="str">
        <f aca="false">IF(OR(E31="",E31=0),"",E33/E31)</f>
        <v/>
      </c>
      <c r="F34" s="12" t="str">
        <f aca="false">IF(OR(F31="",F31=0),"",F33/F31)</f>
        <v/>
      </c>
      <c r="G34" s="12" t="str">
        <f aca="false">IF(OR(G31="",G31=0),"",G33/G31)</f>
        <v/>
      </c>
      <c r="H34" s="12" t="str">
        <f aca="false">IF(OR(H31="",H31=0),"",H33/H31)</f>
        <v/>
      </c>
      <c r="I34" s="12" t="str">
        <f aca="false">IF(OR(I31="",I31=0),"",I33/I31)</f>
        <v/>
      </c>
      <c r="J34" s="12" t="str">
        <f aca="false">IF(OR(J31="",J31=0),"",J33/J31)</f>
        <v/>
      </c>
      <c r="K34" s="12" t="str">
        <f aca="false">IF(OR(K31="",K31=0),"",K33/K31)</f>
        <v/>
      </c>
      <c r="L34" s="12" t="str">
        <f aca="false">IF(OR(L31="",L31=0),"",L33/L31)</f>
        <v/>
      </c>
      <c r="M34" s="12" t="str">
        <f aca="false">IF(OR(M31="",M31=0),"",M33/M31)</f>
        <v/>
      </c>
      <c r="N34" s="12" t="str">
        <f aca="false">IF(OR(N31="",N31=0),"",N33/N31)</f>
        <v/>
      </c>
      <c r="O34" s="12" t="str">
        <f aca="false">IF(OR(O31="",O31=0),"",O33/O31)</f>
        <v/>
      </c>
      <c r="P34" s="12" t="str">
        <f aca="false">IF(OR(P31="",P31=0),"",P33/P31)</f>
        <v/>
      </c>
      <c r="Q34" s="12" t="str">
        <f aca="false">IF(OR(Q31="",Q31=0),"",Q33/Q31)</f>
        <v/>
      </c>
      <c r="R34" s="12" t="str">
        <f aca="false">IF(OR(R31="",R31=0),"",R33/R31)</f>
        <v/>
      </c>
      <c r="S34" s="12" t="str">
        <f aca="false">IF(OR(S31="",S31=0),"",S33/S31)</f>
        <v/>
      </c>
      <c r="T34" s="12" t="str">
        <f aca="false">IF(OR(T31="",T31=0),"",T33/T31)</f>
        <v/>
      </c>
      <c r="U34" s="12" t="str">
        <f aca="false">IF(OR(U31="",U31=0),"",U33/U31)</f>
        <v/>
      </c>
      <c r="V34" s="12" t="str">
        <f aca="false">IF(OR(V31="",V31=0),"",V33/V31)</f>
        <v/>
      </c>
      <c r="W34" s="12" t="str">
        <f aca="false">IF(OR(W31="",W31=0),"",W33/W31)</f>
        <v/>
      </c>
      <c r="X34" s="12" t="str">
        <f aca="false">IF(OR(X31="",X31=0),"",X33/X31)</f>
        <v/>
      </c>
      <c r="Y34" s="12" t="str">
        <f aca="false">IF(OR(Y31="",Y31=0),"",Y33/Y31)</f>
        <v/>
      </c>
      <c r="Z34" s="12" t="str">
        <f aca="false">IF(OR(Z31="",Z31=0),"",Z33/Z31)</f>
        <v/>
      </c>
      <c r="AA34" s="26" t="str">
        <f aca="false">IF(OR($A$29="",AA31="",AA31=0),"",AA33/AA31)</f>
        <v/>
      </c>
    </row>
    <row r="36" customFormat="false" ht="15" hidden="false" customHeight="false" outlineLevel="0" collapsed="false">
      <c r="A36" s="40" t="str">
        <f aca="false">IF('Cost Margin'!$V$35="","",'Cost Margin'!$V$35)</f>
        <v/>
      </c>
      <c r="B36" s="36" t="s">
        <v>62</v>
      </c>
      <c r="C36" s="22" t="str">
        <f aca="false">IF(OR($A$36="",Monthly!C$5=""),"",SUMPRODUCT((Monthly!$AB$31:$AB$50=$A$36)*(Monthly!C$31:C$50&gt;0)))</f>
        <v/>
      </c>
      <c r="D36" s="22" t="str">
        <f aca="false">IF(OR($A$36="",Monthly!D$5=""),"",SUMPRODUCT((Monthly!$AB$31:$AB$50=$A$36)*(Monthly!D$31:D$50&gt;0)))</f>
        <v/>
      </c>
      <c r="E36" s="22" t="str">
        <f aca="false">IF(OR($A$36="",Monthly!E$5=""),"",SUMPRODUCT((Monthly!$AB$31:$AB$50=$A$36)*(Monthly!E$31:E$50&gt;0)))</f>
        <v/>
      </c>
      <c r="F36" s="22" t="str">
        <f aca="false">IF(OR($A$36="",Monthly!F$5=""),"",SUMPRODUCT((Monthly!$AB$31:$AB$50=$A$36)*(Monthly!F$31:F$50&gt;0)))</f>
        <v/>
      </c>
      <c r="G36" s="22" t="str">
        <f aca="false">IF(OR($A$36="",Monthly!G$5=""),"",SUMPRODUCT((Monthly!$AB$31:$AB$50=$A$36)*(Monthly!G$31:G$50&gt;0)))</f>
        <v/>
      </c>
      <c r="H36" s="22" t="str">
        <f aca="false">IF(OR($A$36="",Monthly!H$5=""),"",SUMPRODUCT((Monthly!$AB$31:$AB$50=$A$36)*(Monthly!H$31:H$50&gt;0)))</f>
        <v/>
      </c>
      <c r="I36" s="22" t="str">
        <f aca="false">IF(OR($A$36="",Monthly!I$5=""),"",SUMPRODUCT((Monthly!$AB$31:$AB$50=$A$36)*(Monthly!I$31:I$50&gt;0)))</f>
        <v/>
      </c>
      <c r="J36" s="22" t="str">
        <f aca="false">IF(OR($A$36="",Monthly!J$5=""),"",SUMPRODUCT((Monthly!$AB$31:$AB$50=$A$36)*(Monthly!J$31:J$50&gt;0)))</f>
        <v/>
      </c>
      <c r="K36" s="22" t="str">
        <f aca="false">IF(OR($A$36="",Monthly!K$5=""),"",SUMPRODUCT((Monthly!$AB$31:$AB$50=$A$36)*(Monthly!K$31:K$50&gt;0)))</f>
        <v/>
      </c>
      <c r="L36" s="22" t="str">
        <f aca="false">IF(OR($A$36="",Monthly!L$5=""),"",SUMPRODUCT((Monthly!$AB$31:$AB$50=$A$36)*(Monthly!L$31:L$50&gt;0)))</f>
        <v/>
      </c>
      <c r="M36" s="22" t="str">
        <f aca="false">IF(OR($A$36="",Monthly!M$5=""),"",SUMPRODUCT((Monthly!$AB$31:$AB$50=$A$36)*(Monthly!M$31:M$50&gt;0)))</f>
        <v/>
      </c>
      <c r="N36" s="22" t="str">
        <f aca="false">IF(OR($A$36="",Monthly!N$5=""),"",SUMPRODUCT((Monthly!$AB$31:$AB$50=$A$36)*(Monthly!N$31:N$50&gt;0)))</f>
        <v/>
      </c>
      <c r="O36" s="22" t="str">
        <f aca="false">IF(OR($A$36="",Monthly!O$5=""),"",SUMPRODUCT((Monthly!$AB$31:$AB$50=$A$36)*(Monthly!O$31:O$50&gt;0)))</f>
        <v/>
      </c>
      <c r="P36" s="22" t="str">
        <f aca="false">IF(OR($A$36="",Monthly!P$5=""),"",SUMPRODUCT((Monthly!$AB$31:$AB$50=$A$36)*(Monthly!P$31:P$50&gt;0)))</f>
        <v/>
      </c>
      <c r="Q36" s="22" t="str">
        <f aca="false">IF(OR($A$36="",Monthly!Q$5=""),"",SUMPRODUCT((Monthly!$AB$31:$AB$50=$A$36)*(Monthly!Q$31:Q$50&gt;0)))</f>
        <v/>
      </c>
      <c r="R36" s="22" t="str">
        <f aca="false">IF(OR($A$36="",Monthly!R$5=""),"",SUMPRODUCT((Monthly!$AB$31:$AB$50=$A$36)*(Monthly!R$31:R$50&gt;0)))</f>
        <v/>
      </c>
      <c r="S36" s="22" t="str">
        <f aca="false">IF(OR($A$36="",Monthly!S$5=""),"",SUMPRODUCT((Monthly!$AB$31:$AB$50=$A$36)*(Monthly!S$31:S$50&gt;0)))</f>
        <v/>
      </c>
      <c r="T36" s="22" t="str">
        <f aca="false">IF(OR($A$36="",Monthly!T$5=""),"",SUMPRODUCT((Monthly!$AB$31:$AB$50=$A$36)*(Monthly!T$31:T$50&gt;0)))</f>
        <v/>
      </c>
      <c r="U36" s="22" t="str">
        <f aca="false">IF(OR($A$36="",Monthly!U$5=""),"",SUMPRODUCT((Monthly!$AB$31:$AB$50=$A$36)*(Monthly!U$31:U$50&gt;0)))</f>
        <v/>
      </c>
      <c r="V36" s="22" t="str">
        <f aca="false">IF(OR($A$36="",Monthly!V$5=""),"",SUMPRODUCT((Monthly!$AB$31:$AB$50=$A$36)*(Monthly!V$31:V$50&gt;0)))</f>
        <v/>
      </c>
      <c r="W36" s="22" t="str">
        <f aca="false">IF(OR($A$36="",Monthly!W$5=""),"",SUMPRODUCT((Monthly!$AB$31:$AB$50=$A$36)*(Monthly!W$31:W$50&gt;0)))</f>
        <v/>
      </c>
      <c r="X36" s="22" t="str">
        <f aca="false">IF(OR($A$36="",Monthly!X$5=""),"",SUMPRODUCT((Monthly!$AB$31:$AB$50=$A$36)*(Monthly!X$31:X$50&gt;0)))</f>
        <v/>
      </c>
      <c r="Y36" s="22" t="str">
        <f aca="false">IF(OR($A$36="",Monthly!Y$5=""),"",SUMPRODUCT((Monthly!$AB$31:$AB$50=$A$36)*(Monthly!Y$31:Y$50&gt;0)))</f>
        <v/>
      </c>
      <c r="Z36" s="22" t="str">
        <f aca="false">IF(OR($A$36="",Monthly!Z$5=""),"",SUMPRODUCT((Monthly!$AB$31:$AB$50=$A$36)*(Monthly!Z$31:Z$50&gt;0)))</f>
        <v/>
      </c>
      <c r="AA36" s="37" t="str">
        <f aca="false">IF($A$36="","",MAX(C36:Z36))</f>
        <v/>
      </c>
    </row>
    <row r="37" customFormat="false" ht="15" hidden="false" customHeight="false" outlineLevel="0" collapsed="false">
      <c r="B37" s="36" t="s">
        <v>149</v>
      </c>
      <c r="C37" s="35" t="str">
        <f aca="false">IF(OR($A$36="",Monthly!C$5=""),"",SUMIF(Monthly!$AB$31:$AB$50,$A$36,Monthly!C$31:C$50))</f>
        <v/>
      </c>
      <c r="D37" s="35" t="str">
        <f aca="false">IF(OR($A$36="",Monthly!D$5=""),"",SUMIF(Monthly!$AB$31:$AB$50,$A$36,Monthly!D$31:D$50))</f>
        <v/>
      </c>
      <c r="E37" s="35" t="str">
        <f aca="false">IF(OR($A$36="",Monthly!E$5=""),"",SUMIF(Monthly!$AB$31:$AB$50,$A$36,Monthly!E$31:E$50))</f>
        <v/>
      </c>
      <c r="F37" s="35" t="str">
        <f aca="false">IF(OR($A$36="",Monthly!F$5=""),"",SUMIF(Monthly!$AB$31:$AB$50,$A$36,Monthly!F$31:F$50))</f>
        <v/>
      </c>
      <c r="G37" s="35" t="str">
        <f aca="false">IF(OR($A$36="",Monthly!G$5=""),"",SUMIF(Monthly!$AB$31:$AB$50,$A$36,Monthly!G$31:G$50))</f>
        <v/>
      </c>
      <c r="H37" s="35" t="str">
        <f aca="false">IF(OR($A$36="",Monthly!H$5=""),"",SUMIF(Monthly!$AB$31:$AB$50,$A$36,Monthly!H$31:H$50))</f>
        <v/>
      </c>
      <c r="I37" s="35" t="str">
        <f aca="false">IF(OR($A$36="",Monthly!I$5=""),"",SUMIF(Monthly!$AB$31:$AB$50,$A$36,Monthly!I$31:I$50))</f>
        <v/>
      </c>
      <c r="J37" s="35" t="str">
        <f aca="false">IF(OR($A$36="",Monthly!J$5=""),"",SUMIF(Monthly!$AB$31:$AB$50,$A$36,Monthly!J$31:J$50))</f>
        <v/>
      </c>
      <c r="K37" s="35" t="str">
        <f aca="false">IF(OR($A$36="",Monthly!K$5=""),"",SUMIF(Monthly!$AB$31:$AB$50,$A$36,Monthly!K$31:K$50))</f>
        <v/>
      </c>
      <c r="L37" s="35" t="str">
        <f aca="false">IF(OR($A$36="",Monthly!L$5=""),"",SUMIF(Monthly!$AB$31:$AB$50,$A$36,Monthly!L$31:L$50))</f>
        <v/>
      </c>
      <c r="M37" s="35" t="str">
        <f aca="false">IF(OR($A$36="",Monthly!M$5=""),"",SUMIF(Monthly!$AB$31:$AB$50,$A$36,Monthly!M$31:M$50))</f>
        <v/>
      </c>
      <c r="N37" s="35" t="str">
        <f aca="false">IF(OR($A$36="",Monthly!N$5=""),"",SUMIF(Monthly!$AB$31:$AB$50,$A$36,Monthly!N$31:N$50))</f>
        <v/>
      </c>
      <c r="O37" s="35" t="str">
        <f aca="false">IF(OR($A$36="",Monthly!O$5=""),"",SUMIF(Monthly!$AB$31:$AB$50,$A$36,Monthly!O$31:O$50))</f>
        <v/>
      </c>
      <c r="P37" s="35" t="str">
        <f aca="false">IF(OR($A$36="",Monthly!P$5=""),"",SUMIF(Monthly!$AB$31:$AB$50,$A$36,Monthly!P$31:P$50))</f>
        <v/>
      </c>
      <c r="Q37" s="35" t="str">
        <f aca="false">IF(OR($A$36="",Monthly!Q$5=""),"",SUMIF(Monthly!$AB$31:$AB$50,$A$36,Monthly!Q$31:Q$50))</f>
        <v/>
      </c>
      <c r="R37" s="35" t="str">
        <f aca="false">IF(OR($A$36="",Monthly!R$5=""),"",SUMIF(Monthly!$AB$31:$AB$50,$A$36,Monthly!R$31:R$50))</f>
        <v/>
      </c>
      <c r="S37" s="35" t="str">
        <f aca="false">IF(OR($A$36="",Monthly!S$5=""),"",SUMIF(Monthly!$AB$31:$AB$50,$A$36,Monthly!S$31:S$50))</f>
        <v/>
      </c>
      <c r="T37" s="35" t="str">
        <f aca="false">IF(OR($A$36="",Monthly!T$5=""),"",SUMIF(Monthly!$AB$31:$AB$50,$A$36,Monthly!T$31:T$50))</f>
        <v/>
      </c>
      <c r="U37" s="35" t="str">
        <f aca="false">IF(OR($A$36="",Monthly!U$5=""),"",SUMIF(Monthly!$AB$31:$AB$50,$A$36,Monthly!U$31:U$50))</f>
        <v/>
      </c>
      <c r="V37" s="35" t="str">
        <f aca="false">IF(OR($A$36="",Monthly!V$5=""),"",SUMIF(Monthly!$AB$31:$AB$50,$A$36,Monthly!V$31:V$50))</f>
        <v/>
      </c>
      <c r="W37" s="35" t="str">
        <f aca="false">IF(OR($A$36="",Monthly!W$5=""),"",SUMIF(Monthly!$AB$31:$AB$50,$A$36,Monthly!W$31:W$50))</f>
        <v/>
      </c>
      <c r="X37" s="35" t="str">
        <f aca="false">IF(OR($A$36="",Monthly!X$5=""),"",SUMIF(Monthly!$AB$31:$AB$50,$A$36,Monthly!X$31:X$50))</f>
        <v/>
      </c>
      <c r="Y37" s="35" t="str">
        <f aca="false">IF(OR($A$36="",Monthly!Y$5=""),"",SUMIF(Monthly!$AB$31:$AB$50,$A$36,Monthly!Y$31:Y$50))</f>
        <v/>
      </c>
      <c r="Z37" s="35" t="str">
        <f aca="false">IF(OR($A$36="",Monthly!Z$5=""),"",SUMIF(Monthly!$AB$31:$AB$50,$A$36,Monthly!Z$31:Z$50))</f>
        <v/>
      </c>
      <c r="AA37" s="24" t="str">
        <f aca="false">IF($A$36="","",SUM(C37:Z37))</f>
        <v/>
      </c>
    </row>
    <row r="38" customFormat="false" ht="15" hidden="false" customHeight="false" outlineLevel="0" collapsed="false">
      <c r="B38" s="3" t="s">
        <v>151</v>
      </c>
      <c r="C38" s="7" t="str">
        <f aca="false">IF(OR($A$36="",Monthly!C$5=""),"",SUMIF(Monthly!$AB$31:$AB$50,$A$36,Monthly!C$53:C$72))</f>
        <v/>
      </c>
      <c r="D38" s="7" t="str">
        <f aca="false">IF(OR($A$36="",Monthly!D$5=""),"",SUMIF(Monthly!$AB$31:$AB$50,$A$36,Monthly!D$53:D$72))</f>
        <v/>
      </c>
      <c r="E38" s="7" t="str">
        <f aca="false">IF(OR($A$36="",Monthly!E$5=""),"",SUMIF(Monthly!$AB$31:$AB$50,$A$36,Monthly!E$53:E$72))</f>
        <v/>
      </c>
      <c r="F38" s="7" t="str">
        <f aca="false">IF(OR($A$36="",Monthly!F$5=""),"",SUMIF(Monthly!$AB$31:$AB$50,$A$36,Monthly!F$53:F$72))</f>
        <v/>
      </c>
      <c r="G38" s="7" t="str">
        <f aca="false">IF(OR($A$36="",Monthly!G$5=""),"",SUMIF(Monthly!$AB$31:$AB$50,$A$36,Monthly!G$53:G$72))</f>
        <v/>
      </c>
      <c r="H38" s="7" t="str">
        <f aca="false">IF(OR($A$36="",Monthly!H$5=""),"",SUMIF(Monthly!$AB$31:$AB$50,$A$36,Monthly!H$53:H$72))</f>
        <v/>
      </c>
      <c r="I38" s="7" t="str">
        <f aca="false">IF(OR($A$36="",Monthly!I$5=""),"",SUMIF(Monthly!$AB$31:$AB$50,$A$36,Monthly!I$53:I$72))</f>
        <v/>
      </c>
      <c r="J38" s="7" t="str">
        <f aca="false">IF(OR($A$36="",Monthly!J$5=""),"",SUMIF(Monthly!$AB$31:$AB$50,$A$36,Monthly!J$53:J$72))</f>
        <v/>
      </c>
      <c r="K38" s="7" t="str">
        <f aca="false">IF(OR($A$36="",Monthly!K$5=""),"",SUMIF(Monthly!$AB$31:$AB$50,$A$36,Monthly!K$53:K$72))</f>
        <v/>
      </c>
      <c r="L38" s="7" t="str">
        <f aca="false">IF(OR($A$36="",Monthly!L$5=""),"",SUMIF(Monthly!$AB$31:$AB$50,$A$36,Monthly!L$53:L$72))</f>
        <v/>
      </c>
      <c r="M38" s="7" t="str">
        <f aca="false">IF(OR($A$36="",Monthly!M$5=""),"",SUMIF(Monthly!$AB$31:$AB$50,$A$36,Monthly!M$53:M$72))</f>
        <v/>
      </c>
      <c r="N38" s="7" t="str">
        <f aca="false">IF(OR($A$36="",Monthly!N$5=""),"",SUMIF(Monthly!$AB$31:$AB$50,$A$36,Monthly!N$53:N$72))</f>
        <v/>
      </c>
      <c r="O38" s="7" t="str">
        <f aca="false">IF(OR($A$36="",Monthly!O$5=""),"",SUMIF(Monthly!$AB$31:$AB$50,$A$36,Monthly!O$53:O$72))</f>
        <v/>
      </c>
      <c r="P38" s="7" t="str">
        <f aca="false">IF(OR($A$36="",Monthly!P$5=""),"",SUMIF(Monthly!$AB$31:$AB$50,$A$36,Monthly!P$53:P$72))</f>
        <v/>
      </c>
      <c r="Q38" s="7" t="str">
        <f aca="false">IF(OR($A$36="",Monthly!Q$5=""),"",SUMIF(Monthly!$AB$31:$AB$50,$A$36,Monthly!Q$53:Q$72))</f>
        <v/>
      </c>
      <c r="R38" s="7" t="str">
        <f aca="false">IF(OR($A$36="",Monthly!R$5=""),"",SUMIF(Monthly!$AB$31:$AB$50,$A$36,Monthly!R$53:R$72))</f>
        <v/>
      </c>
      <c r="S38" s="7" t="str">
        <f aca="false">IF(OR($A$36="",Monthly!S$5=""),"",SUMIF(Monthly!$AB$31:$AB$50,$A$36,Monthly!S$53:S$72))</f>
        <v/>
      </c>
      <c r="T38" s="7" t="str">
        <f aca="false">IF(OR($A$36="",Monthly!T$5=""),"",SUMIF(Monthly!$AB$31:$AB$50,$A$36,Monthly!T$53:T$72))</f>
        <v/>
      </c>
      <c r="U38" s="7" t="str">
        <f aca="false">IF(OR($A$36="",Monthly!U$5=""),"",SUMIF(Monthly!$AB$31:$AB$50,$A$36,Monthly!U$53:U$72))</f>
        <v/>
      </c>
      <c r="V38" s="7" t="str">
        <f aca="false">IF(OR($A$36="",Monthly!V$5=""),"",SUMIF(Monthly!$AB$31:$AB$50,$A$36,Monthly!V$53:V$72))</f>
        <v/>
      </c>
      <c r="W38" s="7" t="str">
        <f aca="false">IF(OR($A$36="",Monthly!W$5=""),"",SUMIF(Monthly!$AB$31:$AB$50,$A$36,Monthly!W$53:W$72))</f>
        <v/>
      </c>
      <c r="X38" s="7" t="str">
        <f aca="false">IF(OR($A$36="",Monthly!X$5=""),"",SUMIF(Monthly!$AB$31:$AB$50,$A$36,Monthly!X$53:X$72))</f>
        <v/>
      </c>
      <c r="Y38" s="7" t="str">
        <f aca="false">IF(OR($A$36="",Monthly!Y$5=""),"",SUMIF(Monthly!$AB$31:$AB$50,$A$36,Monthly!Y$53:Y$72))</f>
        <v/>
      </c>
      <c r="Z38" s="7" t="str">
        <f aca="false">IF(OR($A$36="",Monthly!Z$5=""),"",SUMIF(Monthly!$AB$31:$AB$50,$A$36,Monthly!Z$53:Z$72))</f>
        <v/>
      </c>
      <c r="AA38" s="25" t="str">
        <f aca="false">IF($A$36="","",SUM(C38:Z38))</f>
        <v/>
      </c>
    </row>
    <row r="39" customFormat="false" ht="15" hidden="false" customHeight="false" outlineLevel="0" collapsed="false">
      <c r="B39" s="36" t="s">
        <v>160</v>
      </c>
      <c r="C39" s="7" t="str">
        <f aca="false">IF(OR($A$36="",Monthly!C$5=""),"",SUMIF(Monthly!$AB$31:$AB$50,$A$36,Monthly!C$75:C$94))</f>
        <v/>
      </c>
      <c r="D39" s="7" t="str">
        <f aca="false">IF(OR($A$36="",Monthly!D$5=""),"",SUMIF(Monthly!$AB$31:$AB$50,$A$36,Monthly!D$75:D$94))</f>
        <v/>
      </c>
      <c r="E39" s="7" t="str">
        <f aca="false">IF(OR($A$36="",Monthly!E$5=""),"",SUMIF(Monthly!$AB$31:$AB$50,$A$36,Monthly!E$75:E$94))</f>
        <v/>
      </c>
      <c r="F39" s="7" t="str">
        <f aca="false">IF(OR($A$36="",Monthly!F$5=""),"",SUMIF(Monthly!$AB$31:$AB$50,$A$36,Monthly!F$75:F$94))</f>
        <v/>
      </c>
      <c r="G39" s="7" t="str">
        <f aca="false">IF(OR($A$36="",Monthly!G$5=""),"",SUMIF(Monthly!$AB$31:$AB$50,$A$36,Monthly!G$75:G$94))</f>
        <v/>
      </c>
      <c r="H39" s="7" t="str">
        <f aca="false">IF(OR($A$36="",Monthly!H$5=""),"",SUMIF(Monthly!$AB$31:$AB$50,$A$36,Monthly!H$75:H$94))</f>
        <v/>
      </c>
      <c r="I39" s="7" t="str">
        <f aca="false">IF(OR($A$36="",Monthly!I$5=""),"",SUMIF(Monthly!$AB$31:$AB$50,$A$36,Monthly!I$75:I$94))</f>
        <v/>
      </c>
      <c r="J39" s="7" t="str">
        <f aca="false">IF(OR($A$36="",Monthly!J$5=""),"",SUMIF(Monthly!$AB$31:$AB$50,$A$36,Monthly!J$75:J$94))</f>
        <v/>
      </c>
      <c r="K39" s="7" t="str">
        <f aca="false">IF(OR($A$36="",Monthly!K$5=""),"",SUMIF(Monthly!$AB$31:$AB$50,$A$36,Monthly!K$75:K$94))</f>
        <v/>
      </c>
      <c r="L39" s="7" t="str">
        <f aca="false">IF(OR($A$36="",Monthly!L$5=""),"",SUMIF(Monthly!$AB$31:$AB$50,$A$36,Monthly!L$75:L$94))</f>
        <v/>
      </c>
      <c r="M39" s="7" t="str">
        <f aca="false">IF(OR($A$36="",Monthly!M$5=""),"",SUMIF(Monthly!$AB$31:$AB$50,$A$36,Monthly!M$75:M$94))</f>
        <v/>
      </c>
      <c r="N39" s="7" t="str">
        <f aca="false">IF(OR($A$36="",Monthly!N$5=""),"",SUMIF(Monthly!$AB$31:$AB$50,$A$36,Monthly!N$75:N$94))</f>
        <v/>
      </c>
      <c r="O39" s="7" t="str">
        <f aca="false">IF(OR($A$36="",Monthly!O$5=""),"",SUMIF(Monthly!$AB$31:$AB$50,$A$36,Monthly!O$75:O$94))</f>
        <v/>
      </c>
      <c r="P39" s="7" t="str">
        <f aca="false">IF(OR($A$36="",Monthly!P$5=""),"",SUMIF(Monthly!$AB$31:$AB$50,$A$36,Monthly!P$75:P$94))</f>
        <v/>
      </c>
      <c r="Q39" s="7" t="str">
        <f aca="false">IF(OR($A$36="",Monthly!Q$5=""),"",SUMIF(Monthly!$AB$31:$AB$50,$A$36,Monthly!Q$75:Q$94))</f>
        <v/>
      </c>
      <c r="R39" s="7" t="str">
        <f aca="false">IF(OR($A$36="",Monthly!R$5=""),"",SUMIF(Monthly!$AB$31:$AB$50,$A$36,Monthly!R$75:R$94))</f>
        <v/>
      </c>
      <c r="S39" s="7" t="str">
        <f aca="false">IF(OR($A$36="",Monthly!S$5=""),"",SUMIF(Monthly!$AB$31:$AB$50,$A$36,Monthly!S$75:S$94))</f>
        <v/>
      </c>
      <c r="T39" s="7" t="str">
        <f aca="false">IF(OR($A$36="",Monthly!T$5=""),"",SUMIF(Monthly!$AB$31:$AB$50,$A$36,Monthly!T$75:T$94))</f>
        <v/>
      </c>
      <c r="U39" s="7" t="str">
        <f aca="false">IF(OR($A$36="",Monthly!U$5=""),"",SUMIF(Monthly!$AB$31:$AB$50,$A$36,Monthly!U$75:U$94))</f>
        <v/>
      </c>
      <c r="V39" s="7" t="str">
        <f aca="false">IF(OR($A$36="",Monthly!V$5=""),"",SUMIF(Monthly!$AB$31:$AB$50,$A$36,Monthly!V$75:V$94))</f>
        <v/>
      </c>
      <c r="W39" s="7" t="str">
        <f aca="false">IF(OR($A$36="",Monthly!W$5=""),"",SUMIF(Monthly!$AB$31:$AB$50,$A$36,Monthly!W$75:W$94))</f>
        <v/>
      </c>
      <c r="X39" s="7" t="str">
        <f aca="false">IF(OR($A$36="",Monthly!X$5=""),"",SUMIF(Monthly!$AB$31:$AB$50,$A$36,Monthly!X$75:X$94))</f>
        <v/>
      </c>
      <c r="Y39" s="7" t="str">
        <f aca="false">IF(OR($A$36="",Monthly!Y$5=""),"",SUMIF(Monthly!$AB$31:$AB$50,$A$36,Monthly!Y$75:Y$94))</f>
        <v/>
      </c>
      <c r="Z39" s="7" t="str">
        <f aca="false">IF(OR($A$36="",Monthly!Z$5=""),"",SUMIF(Monthly!$AB$31:$AB$50,$A$36,Monthly!Z$75:Z$94))</f>
        <v/>
      </c>
      <c r="AA39" s="25" t="str">
        <f aca="false">IF($A$36="","",SUM(C39:Z39))</f>
        <v/>
      </c>
    </row>
    <row r="40" customFormat="false" ht="15" hidden="false" customHeight="false" outlineLevel="0" collapsed="false">
      <c r="B40" s="3" t="s">
        <v>25</v>
      </c>
      <c r="C40" s="7" t="str">
        <f aca="false">IF(C38="","",C38-C39)</f>
        <v/>
      </c>
      <c r="D40" s="7" t="str">
        <f aca="false">IF(D38="","",D38-D39)</f>
        <v/>
      </c>
      <c r="E40" s="7" t="str">
        <f aca="false">IF(E38="","",E38-E39)</f>
        <v/>
      </c>
      <c r="F40" s="7" t="str">
        <f aca="false">IF(F38="","",F38-F39)</f>
        <v/>
      </c>
      <c r="G40" s="7" t="str">
        <f aca="false">IF(G38="","",G38-G39)</f>
        <v/>
      </c>
      <c r="H40" s="7" t="str">
        <f aca="false">IF(H38="","",H38-H39)</f>
        <v/>
      </c>
      <c r="I40" s="7" t="str">
        <f aca="false">IF(I38="","",I38-I39)</f>
        <v/>
      </c>
      <c r="J40" s="7" t="str">
        <f aca="false">IF(J38="","",J38-J39)</f>
        <v/>
      </c>
      <c r="K40" s="7" t="str">
        <f aca="false">IF(K38="","",K38-K39)</f>
        <v/>
      </c>
      <c r="L40" s="7" t="str">
        <f aca="false">IF(L38="","",L38-L39)</f>
        <v/>
      </c>
      <c r="M40" s="7" t="str">
        <f aca="false">IF(M38="","",M38-M39)</f>
        <v/>
      </c>
      <c r="N40" s="7" t="str">
        <f aca="false">IF(N38="","",N38-N39)</f>
        <v/>
      </c>
      <c r="O40" s="7" t="str">
        <f aca="false">IF(O38="","",O38-O39)</f>
        <v/>
      </c>
      <c r="P40" s="7" t="str">
        <f aca="false">IF(P38="","",P38-P39)</f>
        <v/>
      </c>
      <c r="Q40" s="7" t="str">
        <f aca="false">IF(Q38="","",Q38-Q39)</f>
        <v/>
      </c>
      <c r="R40" s="7" t="str">
        <f aca="false">IF(R38="","",R38-R39)</f>
        <v/>
      </c>
      <c r="S40" s="7" t="str">
        <f aca="false">IF(S38="","",S38-S39)</f>
        <v/>
      </c>
      <c r="T40" s="7" t="str">
        <f aca="false">IF(T38="","",T38-T39)</f>
        <v/>
      </c>
      <c r="U40" s="7" t="str">
        <f aca="false">IF(U38="","",U38-U39)</f>
        <v/>
      </c>
      <c r="V40" s="7" t="str">
        <f aca="false">IF(V38="","",V38-V39)</f>
        <v/>
      </c>
      <c r="W40" s="7" t="str">
        <f aca="false">IF(W38="","",W38-W39)</f>
        <v/>
      </c>
      <c r="X40" s="7" t="str">
        <f aca="false">IF(X38="","",X38-X39)</f>
        <v/>
      </c>
      <c r="Y40" s="7" t="str">
        <f aca="false">IF(Y38="","",Y38-Y39)</f>
        <v/>
      </c>
      <c r="Z40" s="7" t="str">
        <f aca="false">IF(Z38="","",Z38-Z39)</f>
        <v/>
      </c>
      <c r="AA40" s="25" t="str">
        <f aca="false">IF($A$36="","",SUM(C40:Z40))</f>
        <v/>
      </c>
    </row>
    <row r="41" customFormat="false" ht="15" hidden="false" customHeight="false" outlineLevel="0" collapsed="false">
      <c r="B41" s="3" t="s">
        <v>27</v>
      </c>
      <c r="C41" s="12" t="str">
        <f aca="false">IF(OR(C38="",C38=0),"",C40/C38)</f>
        <v/>
      </c>
      <c r="D41" s="12" t="str">
        <f aca="false">IF(OR(D38="",D38=0),"",D40/D38)</f>
        <v/>
      </c>
      <c r="E41" s="12" t="str">
        <f aca="false">IF(OR(E38="",E38=0),"",E40/E38)</f>
        <v/>
      </c>
      <c r="F41" s="12" t="str">
        <f aca="false">IF(OR(F38="",F38=0),"",F40/F38)</f>
        <v/>
      </c>
      <c r="G41" s="12" t="str">
        <f aca="false">IF(OR(G38="",G38=0),"",G40/G38)</f>
        <v/>
      </c>
      <c r="H41" s="12" t="str">
        <f aca="false">IF(OR(H38="",H38=0),"",H40/H38)</f>
        <v/>
      </c>
      <c r="I41" s="12" t="str">
        <f aca="false">IF(OR(I38="",I38=0),"",I40/I38)</f>
        <v/>
      </c>
      <c r="J41" s="12" t="str">
        <f aca="false">IF(OR(J38="",J38=0),"",J40/J38)</f>
        <v/>
      </c>
      <c r="K41" s="12" t="str">
        <f aca="false">IF(OR(K38="",K38=0),"",K40/K38)</f>
        <v/>
      </c>
      <c r="L41" s="12" t="str">
        <f aca="false">IF(OR(L38="",L38=0),"",L40/L38)</f>
        <v/>
      </c>
      <c r="M41" s="12" t="str">
        <f aca="false">IF(OR(M38="",M38=0),"",M40/M38)</f>
        <v/>
      </c>
      <c r="N41" s="12" t="str">
        <f aca="false">IF(OR(N38="",N38=0),"",N40/N38)</f>
        <v/>
      </c>
      <c r="O41" s="12" t="str">
        <f aca="false">IF(OR(O38="",O38=0),"",O40/O38)</f>
        <v/>
      </c>
      <c r="P41" s="12" t="str">
        <f aca="false">IF(OR(P38="",P38=0),"",P40/P38)</f>
        <v/>
      </c>
      <c r="Q41" s="12" t="str">
        <f aca="false">IF(OR(Q38="",Q38=0),"",Q40/Q38)</f>
        <v/>
      </c>
      <c r="R41" s="12" t="str">
        <f aca="false">IF(OR(R38="",R38=0),"",R40/R38)</f>
        <v/>
      </c>
      <c r="S41" s="12" t="str">
        <f aca="false">IF(OR(S38="",S38=0),"",S40/S38)</f>
        <v/>
      </c>
      <c r="T41" s="12" t="str">
        <f aca="false">IF(OR(T38="",T38=0),"",T40/T38)</f>
        <v/>
      </c>
      <c r="U41" s="12" t="str">
        <f aca="false">IF(OR(U38="",U38=0),"",U40/U38)</f>
        <v/>
      </c>
      <c r="V41" s="12" t="str">
        <f aca="false">IF(OR(V38="",V38=0),"",V40/V38)</f>
        <v/>
      </c>
      <c r="W41" s="12" t="str">
        <f aca="false">IF(OR(W38="",W38=0),"",W40/W38)</f>
        <v/>
      </c>
      <c r="X41" s="12" t="str">
        <f aca="false">IF(OR(X38="",X38=0),"",X40/X38)</f>
        <v/>
      </c>
      <c r="Y41" s="12" t="str">
        <f aca="false">IF(OR(Y38="",Y38=0),"",Y40/Y38)</f>
        <v/>
      </c>
      <c r="Z41" s="12" t="str">
        <f aca="false">IF(OR(Z38="",Z38=0),"",Z40/Z38)</f>
        <v/>
      </c>
      <c r="AA41" s="26" t="str">
        <f aca="false">IF(OR($A$36="",AA38="",AA38=0),"",AA40/AA38)</f>
        <v/>
      </c>
    </row>
    <row r="43" customFormat="false" ht="15" hidden="false" customHeight="false" outlineLevel="0" collapsed="false">
      <c r="A43" s="40" t="str">
        <f aca="false">IF('Cost Margin'!$V$36="","",'Cost Margin'!$V$36)</f>
        <v/>
      </c>
      <c r="B43" s="36" t="s">
        <v>62</v>
      </c>
      <c r="C43" s="22" t="str">
        <f aca="false">IF(OR($A$43="",Monthly!C$5=""),"",SUMPRODUCT((Monthly!$AB$31:$AB$50=$A$43)*(Monthly!C$31:C$50&gt;0)))</f>
        <v/>
      </c>
      <c r="D43" s="22" t="str">
        <f aca="false">IF(OR($A$43="",Monthly!D$5=""),"",SUMPRODUCT((Monthly!$AB$31:$AB$50=$A$43)*(Monthly!D$31:D$50&gt;0)))</f>
        <v/>
      </c>
      <c r="E43" s="22" t="str">
        <f aca="false">IF(OR($A$43="",Monthly!E$5=""),"",SUMPRODUCT((Monthly!$AB$31:$AB$50=$A$43)*(Monthly!E$31:E$50&gt;0)))</f>
        <v/>
      </c>
      <c r="F43" s="22" t="str">
        <f aca="false">IF(OR($A$43="",Monthly!F$5=""),"",SUMPRODUCT((Monthly!$AB$31:$AB$50=$A$43)*(Monthly!F$31:F$50&gt;0)))</f>
        <v/>
      </c>
      <c r="G43" s="22" t="str">
        <f aca="false">IF(OR($A$43="",Monthly!G$5=""),"",SUMPRODUCT((Monthly!$AB$31:$AB$50=$A$43)*(Monthly!G$31:G$50&gt;0)))</f>
        <v/>
      </c>
      <c r="H43" s="22" t="str">
        <f aca="false">IF(OR($A$43="",Monthly!H$5=""),"",SUMPRODUCT((Monthly!$AB$31:$AB$50=$A$43)*(Monthly!H$31:H$50&gt;0)))</f>
        <v/>
      </c>
      <c r="I43" s="22" t="str">
        <f aca="false">IF(OR($A$43="",Monthly!I$5=""),"",SUMPRODUCT((Monthly!$AB$31:$AB$50=$A$43)*(Monthly!I$31:I$50&gt;0)))</f>
        <v/>
      </c>
      <c r="J43" s="22" t="str">
        <f aca="false">IF(OR($A$43="",Monthly!J$5=""),"",SUMPRODUCT((Monthly!$AB$31:$AB$50=$A$43)*(Monthly!J$31:J$50&gt;0)))</f>
        <v/>
      </c>
      <c r="K43" s="22" t="str">
        <f aca="false">IF(OR($A$43="",Monthly!K$5=""),"",SUMPRODUCT((Monthly!$AB$31:$AB$50=$A$43)*(Monthly!K$31:K$50&gt;0)))</f>
        <v/>
      </c>
      <c r="L43" s="22" t="str">
        <f aca="false">IF(OR($A$43="",Monthly!L$5=""),"",SUMPRODUCT((Monthly!$AB$31:$AB$50=$A$43)*(Monthly!L$31:L$50&gt;0)))</f>
        <v/>
      </c>
      <c r="M43" s="22" t="str">
        <f aca="false">IF(OR($A$43="",Monthly!M$5=""),"",SUMPRODUCT((Monthly!$AB$31:$AB$50=$A$43)*(Monthly!M$31:M$50&gt;0)))</f>
        <v/>
      </c>
      <c r="N43" s="22" t="str">
        <f aca="false">IF(OR($A$43="",Monthly!N$5=""),"",SUMPRODUCT((Monthly!$AB$31:$AB$50=$A$43)*(Monthly!N$31:N$50&gt;0)))</f>
        <v/>
      </c>
      <c r="O43" s="22" t="str">
        <f aca="false">IF(OR($A$43="",Monthly!O$5=""),"",SUMPRODUCT((Monthly!$AB$31:$AB$50=$A$43)*(Monthly!O$31:O$50&gt;0)))</f>
        <v/>
      </c>
      <c r="P43" s="22" t="str">
        <f aca="false">IF(OR($A$43="",Monthly!P$5=""),"",SUMPRODUCT((Monthly!$AB$31:$AB$50=$A$43)*(Monthly!P$31:P$50&gt;0)))</f>
        <v/>
      </c>
      <c r="Q43" s="22" t="str">
        <f aca="false">IF(OR($A$43="",Monthly!Q$5=""),"",SUMPRODUCT((Monthly!$AB$31:$AB$50=$A$43)*(Monthly!Q$31:Q$50&gt;0)))</f>
        <v/>
      </c>
      <c r="R43" s="22" t="str">
        <f aca="false">IF(OR($A$43="",Monthly!R$5=""),"",SUMPRODUCT((Monthly!$AB$31:$AB$50=$A$43)*(Monthly!R$31:R$50&gt;0)))</f>
        <v/>
      </c>
      <c r="S43" s="22" t="str">
        <f aca="false">IF(OR($A$43="",Monthly!S$5=""),"",SUMPRODUCT((Monthly!$AB$31:$AB$50=$A$43)*(Monthly!S$31:S$50&gt;0)))</f>
        <v/>
      </c>
      <c r="T43" s="22" t="str">
        <f aca="false">IF(OR($A$43="",Monthly!T$5=""),"",SUMPRODUCT((Monthly!$AB$31:$AB$50=$A$43)*(Monthly!T$31:T$50&gt;0)))</f>
        <v/>
      </c>
      <c r="U43" s="22" t="str">
        <f aca="false">IF(OR($A$43="",Monthly!U$5=""),"",SUMPRODUCT((Monthly!$AB$31:$AB$50=$A$43)*(Monthly!U$31:U$50&gt;0)))</f>
        <v/>
      </c>
      <c r="V43" s="22" t="str">
        <f aca="false">IF(OR($A$43="",Monthly!V$5=""),"",SUMPRODUCT((Monthly!$AB$31:$AB$50=$A$43)*(Monthly!V$31:V$50&gt;0)))</f>
        <v/>
      </c>
      <c r="W43" s="22" t="str">
        <f aca="false">IF(OR($A$43="",Monthly!W$5=""),"",SUMPRODUCT((Monthly!$AB$31:$AB$50=$A$43)*(Monthly!W$31:W$50&gt;0)))</f>
        <v/>
      </c>
      <c r="X43" s="22" t="str">
        <f aca="false">IF(OR($A$43="",Monthly!X$5=""),"",SUMPRODUCT((Monthly!$AB$31:$AB$50=$A$43)*(Monthly!X$31:X$50&gt;0)))</f>
        <v/>
      </c>
      <c r="Y43" s="22" t="str">
        <f aca="false">IF(OR($A$43="",Monthly!Y$5=""),"",SUMPRODUCT((Monthly!$AB$31:$AB$50=$A$43)*(Monthly!Y$31:Y$50&gt;0)))</f>
        <v/>
      </c>
      <c r="Z43" s="22" t="str">
        <f aca="false">IF(OR($A$43="",Monthly!Z$5=""),"",SUMPRODUCT((Monthly!$AB$31:$AB$50=$A$43)*(Monthly!Z$31:Z$50&gt;0)))</f>
        <v/>
      </c>
      <c r="AA43" s="37" t="str">
        <f aca="false">IF($A$43="","",MAX(C43:Z43))</f>
        <v/>
      </c>
    </row>
    <row r="44" customFormat="false" ht="15" hidden="false" customHeight="false" outlineLevel="0" collapsed="false">
      <c r="B44" s="36" t="s">
        <v>149</v>
      </c>
      <c r="C44" s="35" t="str">
        <f aca="false">IF(OR($A$43="",Monthly!C$5=""),"",SUMIF(Monthly!$AB$31:$AB$50,$A$43,Monthly!C$31:C$50))</f>
        <v/>
      </c>
      <c r="D44" s="35" t="str">
        <f aca="false">IF(OR($A$43="",Monthly!D$5=""),"",SUMIF(Monthly!$AB$31:$AB$50,$A$43,Monthly!D$31:D$50))</f>
        <v/>
      </c>
      <c r="E44" s="35" t="str">
        <f aca="false">IF(OR($A$43="",Monthly!E$5=""),"",SUMIF(Monthly!$AB$31:$AB$50,$A$43,Monthly!E$31:E$50))</f>
        <v/>
      </c>
      <c r="F44" s="35" t="str">
        <f aca="false">IF(OR($A$43="",Monthly!F$5=""),"",SUMIF(Monthly!$AB$31:$AB$50,$A$43,Monthly!F$31:F$50))</f>
        <v/>
      </c>
      <c r="G44" s="35" t="str">
        <f aca="false">IF(OR($A$43="",Monthly!G$5=""),"",SUMIF(Monthly!$AB$31:$AB$50,$A$43,Monthly!G$31:G$50))</f>
        <v/>
      </c>
      <c r="H44" s="35" t="str">
        <f aca="false">IF(OR($A$43="",Monthly!H$5=""),"",SUMIF(Monthly!$AB$31:$AB$50,$A$43,Monthly!H$31:H$50))</f>
        <v/>
      </c>
      <c r="I44" s="35" t="str">
        <f aca="false">IF(OR($A$43="",Monthly!I$5=""),"",SUMIF(Monthly!$AB$31:$AB$50,$A$43,Monthly!I$31:I$50))</f>
        <v/>
      </c>
      <c r="J44" s="35" t="str">
        <f aca="false">IF(OR($A$43="",Monthly!J$5=""),"",SUMIF(Monthly!$AB$31:$AB$50,$A$43,Monthly!J$31:J$50))</f>
        <v/>
      </c>
      <c r="K44" s="35" t="str">
        <f aca="false">IF(OR($A$43="",Monthly!K$5=""),"",SUMIF(Monthly!$AB$31:$AB$50,$A$43,Monthly!K$31:K$50))</f>
        <v/>
      </c>
      <c r="L44" s="35" t="str">
        <f aca="false">IF(OR($A$43="",Monthly!L$5=""),"",SUMIF(Monthly!$AB$31:$AB$50,$A$43,Monthly!L$31:L$50))</f>
        <v/>
      </c>
      <c r="M44" s="35" t="str">
        <f aca="false">IF(OR($A$43="",Monthly!M$5=""),"",SUMIF(Monthly!$AB$31:$AB$50,$A$43,Monthly!M$31:M$50))</f>
        <v/>
      </c>
      <c r="N44" s="35" t="str">
        <f aca="false">IF(OR($A$43="",Monthly!N$5=""),"",SUMIF(Monthly!$AB$31:$AB$50,$A$43,Monthly!N$31:N$50))</f>
        <v/>
      </c>
      <c r="O44" s="35" t="str">
        <f aca="false">IF(OR($A$43="",Monthly!O$5=""),"",SUMIF(Monthly!$AB$31:$AB$50,$A$43,Monthly!O$31:O$50))</f>
        <v/>
      </c>
      <c r="P44" s="35" t="str">
        <f aca="false">IF(OR($A$43="",Monthly!P$5=""),"",SUMIF(Monthly!$AB$31:$AB$50,$A$43,Monthly!P$31:P$50))</f>
        <v/>
      </c>
      <c r="Q44" s="35" t="str">
        <f aca="false">IF(OR($A$43="",Monthly!Q$5=""),"",SUMIF(Monthly!$AB$31:$AB$50,$A$43,Monthly!Q$31:Q$50))</f>
        <v/>
      </c>
      <c r="R44" s="35" t="str">
        <f aca="false">IF(OR($A$43="",Monthly!R$5=""),"",SUMIF(Monthly!$AB$31:$AB$50,$A$43,Monthly!R$31:R$50))</f>
        <v/>
      </c>
      <c r="S44" s="35" t="str">
        <f aca="false">IF(OR($A$43="",Monthly!S$5=""),"",SUMIF(Monthly!$AB$31:$AB$50,$A$43,Monthly!S$31:S$50))</f>
        <v/>
      </c>
      <c r="T44" s="35" t="str">
        <f aca="false">IF(OR($A$43="",Monthly!T$5=""),"",SUMIF(Monthly!$AB$31:$AB$50,$A$43,Monthly!T$31:T$50))</f>
        <v/>
      </c>
      <c r="U44" s="35" t="str">
        <f aca="false">IF(OR($A$43="",Monthly!U$5=""),"",SUMIF(Monthly!$AB$31:$AB$50,$A$43,Monthly!U$31:U$50))</f>
        <v/>
      </c>
      <c r="V44" s="35" t="str">
        <f aca="false">IF(OR($A$43="",Monthly!V$5=""),"",SUMIF(Monthly!$AB$31:$AB$50,$A$43,Monthly!V$31:V$50))</f>
        <v/>
      </c>
      <c r="W44" s="35" t="str">
        <f aca="false">IF(OR($A$43="",Monthly!W$5=""),"",SUMIF(Monthly!$AB$31:$AB$50,$A$43,Monthly!W$31:W$50))</f>
        <v/>
      </c>
      <c r="X44" s="35" t="str">
        <f aca="false">IF(OR($A$43="",Monthly!X$5=""),"",SUMIF(Monthly!$AB$31:$AB$50,$A$43,Monthly!X$31:X$50))</f>
        <v/>
      </c>
      <c r="Y44" s="35" t="str">
        <f aca="false">IF(OR($A$43="",Monthly!Y$5=""),"",SUMIF(Monthly!$AB$31:$AB$50,$A$43,Monthly!Y$31:Y$50))</f>
        <v/>
      </c>
      <c r="Z44" s="35" t="str">
        <f aca="false">IF(OR($A$43="",Monthly!Z$5=""),"",SUMIF(Monthly!$AB$31:$AB$50,$A$43,Monthly!Z$31:Z$50))</f>
        <v/>
      </c>
      <c r="AA44" s="24" t="str">
        <f aca="false">IF($A$43="","",SUM(C44:Z44))</f>
        <v/>
      </c>
    </row>
    <row r="45" customFormat="false" ht="15" hidden="false" customHeight="false" outlineLevel="0" collapsed="false">
      <c r="B45" s="3" t="s">
        <v>151</v>
      </c>
      <c r="C45" s="7" t="str">
        <f aca="false">IF(OR($A$43="",Monthly!C$5=""),"",SUMIF(Monthly!$AB$31:$AB$50,$A$43,Monthly!C$53:C$72))</f>
        <v/>
      </c>
      <c r="D45" s="7" t="str">
        <f aca="false">IF(OR($A$43="",Monthly!D$5=""),"",SUMIF(Monthly!$AB$31:$AB$50,$A$43,Monthly!D$53:D$72))</f>
        <v/>
      </c>
      <c r="E45" s="7" t="str">
        <f aca="false">IF(OR($A$43="",Monthly!E$5=""),"",SUMIF(Monthly!$AB$31:$AB$50,$A$43,Monthly!E$53:E$72))</f>
        <v/>
      </c>
      <c r="F45" s="7" t="str">
        <f aca="false">IF(OR($A$43="",Monthly!F$5=""),"",SUMIF(Monthly!$AB$31:$AB$50,$A$43,Monthly!F$53:F$72))</f>
        <v/>
      </c>
      <c r="G45" s="7" t="str">
        <f aca="false">IF(OR($A$43="",Monthly!G$5=""),"",SUMIF(Monthly!$AB$31:$AB$50,$A$43,Monthly!G$53:G$72))</f>
        <v/>
      </c>
      <c r="H45" s="7" t="str">
        <f aca="false">IF(OR($A$43="",Monthly!H$5=""),"",SUMIF(Monthly!$AB$31:$AB$50,$A$43,Monthly!H$53:H$72))</f>
        <v/>
      </c>
      <c r="I45" s="7" t="str">
        <f aca="false">IF(OR($A$43="",Monthly!I$5=""),"",SUMIF(Monthly!$AB$31:$AB$50,$A$43,Monthly!I$53:I$72))</f>
        <v/>
      </c>
      <c r="J45" s="7" t="str">
        <f aca="false">IF(OR($A$43="",Monthly!J$5=""),"",SUMIF(Monthly!$AB$31:$AB$50,$A$43,Monthly!J$53:J$72))</f>
        <v/>
      </c>
      <c r="K45" s="7" t="str">
        <f aca="false">IF(OR($A$43="",Monthly!K$5=""),"",SUMIF(Monthly!$AB$31:$AB$50,$A$43,Monthly!K$53:K$72))</f>
        <v/>
      </c>
      <c r="L45" s="7" t="str">
        <f aca="false">IF(OR($A$43="",Monthly!L$5=""),"",SUMIF(Monthly!$AB$31:$AB$50,$A$43,Monthly!L$53:L$72))</f>
        <v/>
      </c>
      <c r="M45" s="7" t="str">
        <f aca="false">IF(OR($A$43="",Monthly!M$5=""),"",SUMIF(Monthly!$AB$31:$AB$50,$A$43,Monthly!M$53:M$72))</f>
        <v/>
      </c>
      <c r="N45" s="7" t="str">
        <f aca="false">IF(OR($A$43="",Monthly!N$5=""),"",SUMIF(Monthly!$AB$31:$AB$50,$A$43,Monthly!N$53:N$72))</f>
        <v/>
      </c>
      <c r="O45" s="7" t="str">
        <f aca="false">IF(OR($A$43="",Monthly!O$5=""),"",SUMIF(Monthly!$AB$31:$AB$50,$A$43,Monthly!O$53:O$72))</f>
        <v/>
      </c>
      <c r="P45" s="7" t="str">
        <f aca="false">IF(OR($A$43="",Monthly!P$5=""),"",SUMIF(Monthly!$AB$31:$AB$50,$A$43,Monthly!P$53:P$72))</f>
        <v/>
      </c>
      <c r="Q45" s="7" t="str">
        <f aca="false">IF(OR($A$43="",Monthly!Q$5=""),"",SUMIF(Monthly!$AB$31:$AB$50,$A$43,Monthly!Q$53:Q$72))</f>
        <v/>
      </c>
      <c r="R45" s="7" t="str">
        <f aca="false">IF(OR($A$43="",Monthly!R$5=""),"",SUMIF(Monthly!$AB$31:$AB$50,$A$43,Monthly!R$53:R$72))</f>
        <v/>
      </c>
      <c r="S45" s="7" t="str">
        <f aca="false">IF(OR($A$43="",Monthly!S$5=""),"",SUMIF(Monthly!$AB$31:$AB$50,$A$43,Monthly!S$53:S$72))</f>
        <v/>
      </c>
      <c r="T45" s="7" t="str">
        <f aca="false">IF(OR($A$43="",Monthly!T$5=""),"",SUMIF(Monthly!$AB$31:$AB$50,$A$43,Monthly!T$53:T$72))</f>
        <v/>
      </c>
      <c r="U45" s="7" t="str">
        <f aca="false">IF(OR($A$43="",Monthly!U$5=""),"",SUMIF(Monthly!$AB$31:$AB$50,$A$43,Monthly!U$53:U$72))</f>
        <v/>
      </c>
      <c r="V45" s="7" t="str">
        <f aca="false">IF(OR($A$43="",Monthly!V$5=""),"",SUMIF(Monthly!$AB$31:$AB$50,$A$43,Monthly!V$53:V$72))</f>
        <v/>
      </c>
      <c r="W45" s="7" t="str">
        <f aca="false">IF(OR($A$43="",Monthly!W$5=""),"",SUMIF(Monthly!$AB$31:$AB$50,$A$43,Monthly!W$53:W$72))</f>
        <v/>
      </c>
      <c r="X45" s="7" t="str">
        <f aca="false">IF(OR($A$43="",Monthly!X$5=""),"",SUMIF(Monthly!$AB$31:$AB$50,$A$43,Monthly!X$53:X$72))</f>
        <v/>
      </c>
      <c r="Y45" s="7" t="str">
        <f aca="false">IF(OR($A$43="",Monthly!Y$5=""),"",SUMIF(Monthly!$AB$31:$AB$50,$A$43,Monthly!Y$53:Y$72))</f>
        <v/>
      </c>
      <c r="Z45" s="7" t="str">
        <f aca="false">IF(OR($A$43="",Monthly!Z$5=""),"",SUMIF(Monthly!$AB$31:$AB$50,$A$43,Monthly!Z$53:Z$72))</f>
        <v/>
      </c>
      <c r="AA45" s="25" t="str">
        <f aca="false">IF($A$43="","",SUM(C45:Z45))</f>
        <v/>
      </c>
    </row>
    <row r="46" customFormat="false" ht="15" hidden="false" customHeight="false" outlineLevel="0" collapsed="false">
      <c r="B46" s="36" t="s">
        <v>160</v>
      </c>
      <c r="C46" s="7" t="str">
        <f aca="false">IF(OR($A$43="",Monthly!C$5=""),"",SUMIF(Monthly!$AB$31:$AB$50,$A$43,Monthly!C$75:C$94))</f>
        <v/>
      </c>
      <c r="D46" s="7" t="str">
        <f aca="false">IF(OR($A$43="",Monthly!D$5=""),"",SUMIF(Monthly!$AB$31:$AB$50,$A$43,Monthly!D$75:D$94))</f>
        <v/>
      </c>
      <c r="E46" s="7" t="str">
        <f aca="false">IF(OR($A$43="",Monthly!E$5=""),"",SUMIF(Monthly!$AB$31:$AB$50,$A$43,Monthly!E$75:E$94))</f>
        <v/>
      </c>
      <c r="F46" s="7" t="str">
        <f aca="false">IF(OR($A$43="",Monthly!F$5=""),"",SUMIF(Monthly!$AB$31:$AB$50,$A$43,Monthly!F$75:F$94))</f>
        <v/>
      </c>
      <c r="G46" s="7" t="str">
        <f aca="false">IF(OR($A$43="",Monthly!G$5=""),"",SUMIF(Monthly!$AB$31:$AB$50,$A$43,Monthly!G$75:G$94))</f>
        <v/>
      </c>
      <c r="H46" s="7" t="str">
        <f aca="false">IF(OR($A$43="",Monthly!H$5=""),"",SUMIF(Monthly!$AB$31:$AB$50,$A$43,Monthly!H$75:H$94))</f>
        <v/>
      </c>
      <c r="I46" s="7" t="str">
        <f aca="false">IF(OR($A$43="",Monthly!I$5=""),"",SUMIF(Monthly!$AB$31:$AB$50,$A$43,Monthly!I$75:I$94))</f>
        <v/>
      </c>
      <c r="J46" s="7" t="str">
        <f aca="false">IF(OR($A$43="",Monthly!J$5=""),"",SUMIF(Monthly!$AB$31:$AB$50,$A$43,Monthly!J$75:J$94))</f>
        <v/>
      </c>
      <c r="K46" s="7" t="str">
        <f aca="false">IF(OR($A$43="",Monthly!K$5=""),"",SUMIF(Monthly!$AB$31:$AB$50,$A$43,Monthly!K$75:K$94))</f>
        <v/>
      </c>
      <c r="L46" s="7" t="str">
        <f aca="false">IF(OR($A$43="",Monthly!L$5=""),"",SUMIF(Monthly!$AB$31:$AB$50,$A$43,Monthly!L$75:L$94))</f>
        <v/>
      </c>
      <c r="M46" s="7" t="str">
        <f aca="false">IF(OR($A$43="",Monthly!M$5=""),"",SUMIF(Monthly!$AB$31:$AB$50,$A$43,Monthly!M$75:M$94))</f>
        <v/>
      </c>
      <c r="N46" s="7" t="str">
        <f aca="false">IF(OR($A$43="",Monthly!N$5=""),"",SUMIF(Monthly!$AB$31:$AB$50,$A$43,Monthly!N$75:N$94))</f>
        <v/>
      </c>
      <c r="O46" s="7" t="str">
        <f aca="false">IF(OR($A$43="",Monthly!O$5=""),"",SUMIF(Monthly!$AB$31:$AB$50,$A$43,Monthly!O$75:O$94))</f>
        <v/>
      </c>
      <c r="P46" s="7" t="str">
        <f aca="false">IF(OR($A$43="",Monthly!P$5=""),"",SUMIF(Monthly!$AB$31:$AB$50,$A$43,Monthly!P$75:P$94))</f>
        <v/>
      </c>
      <c r="Q46" s="7" t="str">
        <f aca="false">IF(OR($A$43="",Monthly!Q$5=""),"",SUMIF(Monthly!$AB$31:$AB$50,$A$43,Monthly!Q$75:Q$94))</f>
        <v/>
      </c>
      <c r="R46" s="7" t="str">
        <f aca="false">IF(OR($A$43="",Monthly!R$5=""),"",SUMIF(Monthly!$AB$31:$AB$50,$A$43,Monthly!R$75:R$94))</f>
        <v/>
      </c>
      <c r="S46" s="7" t="str">
        <f aca="false">IF(OR($A$43="",Monthly!S$5=""),"",SUMIF(Monthly!$AB$31:$AB$50,$A$43,Monthly!S$75:S$94))</f>
        <v/>
      </c>
      <c r="T46" s="7" t="str">
        <f aca="false">IF(OR($A$43="",Monthly!T$5=""),"",SUMIF(Monthly!$AB$31:$AB$50,$A$43,Monthly!T$75:T$94))</f>
        <v/>
      </c>
      <c r="U46" s="7" t="str">
        <f aca="false">IF(OR($A$43="",Monthly!U$5=""),"",SUMIF(Monthly!$AB$31:$AB$50,$A$43,Monthly!U$75:U$94))</f>
        <v/>
      </c>
      <c r="V46" s="7" t="str">
        <f aca="false">IF(OR($A$43="",Monthly!V$5=""),"",SUMIF(Monthly!$AB$31:$AB$50,$A$43,Monthly!V$75:V$94))</f>
        <v/>
      </c>
      <c r="W46" s="7" t="str">
        <f aca="false">IF(OR($A$43="",Monthly!W$5=""),"",SUMIF(Monthly!$AB$31:$AB$50,$A$43,Monthly!W$75:W$94))</f>
        <v/>
      </c>
      <c r="X46" s="7" t="str">
        <f aca="false">IF(OR($A$43="",Monthly!X$5=""),"",SUMIF(Monthly!$AB$31:$AB$50,$A$43,Monthly!X$75:X$94))</f>
        <v/>
      </c>
      <c r="Y46" s="7" t="str">
        <f aca="false">IF(OR($A$43="",Monthly!Y$5=""),"",SUMIF(Monthly!$AB$31:$AB$50,$A$43,Monthly!Y$75:Y$94))</f>
        <v/>
      </c>
      <c r="Z46" s="7" t="str">
        <f aca="false">IF(OR($A$43="",Monthly!Z$5=""),"",SUMIF(Monthly!$AB$31:$AB$50,$A$43,Monthly!Z$75:Z$94))</f>
        <v/>
      </c>
      <c r="AA46" s="25" t="str">
        <f aca="false">IF($A$43="","",SUM(C46:Z46))</f>
        <v/>
      </c>
    </row>
    <row r="47" customFormat="false" ht="15" hidden="false" customHeight="false" outlineLevel="0" collapsed="false">
      <c r="B47" s="3" t="s">
        <v>25</v>
      </c>
      <c r="C47" s="7" t="str">
        <f aca="false">IF(C45="","",C45-C46)</f>
        <v/>
      </c>
      <c r="D47" s="7" t="str">
        <f aca="false">IF(D45="","",D45-D46)</f>
        <v/>
      </c>
      <c r="E47" s="7" t="str">
        <f aca="false">IF(E45="","",E45-E46)</f>
        <v/>
      </c>
      <c r="F47" s="7" t="str">
        <f aca="false">IF(F45="","",F45-F46)</f>
        <v/>
      </c>
      <c r="G47" s="7" t="str">
        <f aca="false">IF(G45="","",G45-G46)</f>
        <v/>
      </c>
      <c r="H47" s="7" t="str">
        <f aca="false">IF(H45="","",H45-H46)</f>
        <v/>
      </c>
      <c r="I47" s="7" t="str">
        <f aca="false">IF(I45="","",I45-I46)</f>
        <v/>
      </c>
      <c r="J47" s="7" t="str">
        <f aca="false">IF(J45="","",J45-J46)</f>
        <v/>
      </c>
      <c r="K47" s="7" t="str">
        <f aca="false">IF(K45="","",K45-K46)</f>
        <v/>
      </c>
      <c r="L47" s="7" t="str">
        <f aca="false">IF(L45="","",L45-L46)</f>
        <v/>
      </c>
      <c r="M47" s="7" t="str">
        <f aca="false">IF(M45="","",M45-M46)</f>
        <v/>
      </c>
      <c r="N47" s="7" t="str">
        <f aca="false">IF(N45="","",N45-N46)</f>
        <v/>
      </c>
      <c r="O47" s="7" t="str">
        <f aca="false">IF(O45="","",O45-O46)</f>
        <v/>
      </c>
      <c r="P47" s="7" t="str">
        <f aca="false">IF(P45="","",P45-P46)</f>
        <v/>
      </c>
      <c r="Q47" s="7" t="str">
        <f aca="false">IF(Q45="","",Q45-Q46)</f>
        <v/>
      </c>
      <c r="R47" s="7" t="str">
        <f aca="false">IF(R45="","",R45-R46)</f>
        <v/>
      </c>
      <c r="S47" s="7" t="str">
        <f aca="false">IF(S45="","",S45-S46)</f>
        <v/>
      </c>
      <c r="T47" s="7" t="str">
        <f aca="false">IF(T45="","",T45-T46)</f>
        <v/>
      </c>
      <c r="U47" s="7" t="str">
        <f aca="false">IF(U45="","",U45-U46)</f>
        <v/>
      </c>
      <c r="V47" s="7" t="str">
        <f aca="false">IF(V45="","",V45-V46)</f>
        <v/>
      </c>
      <c r="W47" s="7" t="str">
        <f aca="false">IF(W45="","",W45-W46)</f>
        <v/>
      </c>
      <c r="X47" s="7" t="str">
        <f aca="false">IF(X45="","",X45-X46)</f>
        <v/>
      </c>
      <c r="Y47" s="7" t="str">
        <f aca="false">IF(Y45="","",Y45-Y46)</f>
        <v/>
      </c>
      <c r="Z47" s="7" t="str">
        <f aca="false">IF(Z45="","",Z45-Z46)</f>
        <v/>
      </c>
      <c r="AA47" s="25" t="str">
        <f aca="false">IF($A$43="","",SUM(C47:Z47))</f>
        <v/>
      </c>
    </row>
    <row r="48" customFormat="false" ht="15" hidden="false" customHeight="false" outlineLevel="0" collapsed="false">
      <c r="B48" s="3" t="s">
        <v>27</v>
      </c>
      <c r="C48" s="12" t="str">
        <f aca="false">IF(OR(C45="",C45=0),"",C47/C45)</f>
        <v/>
      </c>
      <c r="D48" s="12" t="str">
        <f aca="false">IF(OR(D45="",D45=0),"",D47/D45)</f>
        <v/>
      </c>
      <c r="E48" s="12" t="str">
        <f aca="false">IF(OR(E45="",E45=0),"",E47/E45)</f>
        <v/>
      </c>
      <c r="F48" s="12" t="str">
        <f aca="false">IF(OR(F45="",F45=0),"",F47/F45)</f>
        <v/>
      </c>
      <c r="G48" s="12" t="str">
        <f aca="false">IF(OR(G45="",G45=0),"",G47/G45)</f>
        <v/>
      </c>
      <c r="H48" s="12" t="str">
        <f aca="false">IF(OR(H45="",H45=0),"",H47/H45)</f>
        <v/>
      </c>
      <c r="I48" s="12" t="str">
        <f aca="false">IF(OR(I45="",I45=0),"",I47/I45)</f>
        <v/>
      </c>
      <c r="J48" s="12" t="str">
        <f aca="false">IF(OR(J45="",J45=0),"",J47/J45)</f>
        <v/>
      </c>
      <c r="K48" s="12" t="str">
        <f aca="false">IF(OR(K45="",K45=0),"",K47/K45)</f>
        <v/>
      </c>
      <c r="L48" s="12" t="str">
        <f aca="false">IF(OR(L45="",L45=0),"",L47/L45)</f>
        <v/>
      </c>
      <c r="M48" s="12" t="str">
        <f aca="false">IF(OR(M45="",M45=0),"",M47/M45)</f>
        <v/>
      </c>
      <c r="N48" s="12" t="str">
        <f aca="false">IF(OR(N45="",N45=0),"",N47/N45)</f>
        <v/>
      </c>
      <c r="O48" s="12" t="str">
        <f aca="false">IF(OR(O45="",O45=0),"",O47/O45)</f>
        <v/>
      </c>
      <c r="P48" s="12" t="str">
        <f aca="false">IF(OR(P45="",P45=0),"",P47/P45)</f>
        <v/>
      </c>
      <c r="Q48" s="12" t="str">
        <f aca="false">IF(OR(Q45="",Q45=0),"",Q47/Q45)</f>
        <v/>
      </c>
      <c r="R48" s="12" t="str">
        <f aca="false">IF(OR(R45="",R45=0),"",R47/R45)</f>
        <v/>
      </c>
      <c r="S48" s="12" t="str">
        <f aca="false">IF(OR(S45="",S45=0),"",S47/S45)</f>
        <v/>
      </c>
      <c r="T48" s="12" t="str">
        <f aca="false">IF(OR(T45="",T45=0),"",T47/T45)</f>
        <v/>
      </c>
      <c r="U48" s="12" t="str">
        <f aca="false">IF(OR(U45="",U45=0),"",U47/U45)</f>
        <v/>
      </c>
      <c r="V48" s="12" t="str">
        <f aca="false">IF(OR(V45="",V45=0),"",V47/V45)</f>
        <v/>
      </c>
      <c r="W48" s="12" t="str">
        <f aca="false">IF(OR(W45="",W45=0),"",W47/W45)</f>
        <v/>
      </c>
      <c r="X48" s="12" t="str">
        <f aca="false">IF(OR(X45="",X45=0),"",X47/X45)</f>
        <v/>
      </c>
      <c r="Y48" s="12" t="str">
        <f aca="false">IF(OR(Y45="",Y45=0),"",Y47/Y45)</f>
        <v/>
      </c>
      <c r="Z48" s="12" t="str">
        <f aca="false">IF(OR(Z45="",Z45=0),"",Z47/Z45)</f>
        <v/>
      </c>
      <c r="AA48" s="26" t="str">
        <f aca="false">IF(OR($A$43="",AA45="",AA45=0),"",AA47/AA45)</f>
        <v/>
      </c>
    </row>
    <row r="50" customFormat="false" ht="15" hidden="false" customHeight="false" outlineLevel="0" collapsed="false">
      <c r="A50" s="40" t="str">
        <f aca="false">IF('Cost Margin'!$V$37="","",'Cost Margin'!$V$37)</f>
        <v/>
      </c>
      <c r="B50" s="36" t="s">
        <v>62</v>
      </c>
      <c r="C50" s="22" t="str">
        <f aca="false">IF(OR($A$50="",Monthly!C$5=""),"",SUMPRODUCT((Monthly!$AB$31:$AB$50=$A$50)*(Monthly!C$31:C$50&gt;0)))</f>
        <v/>
      </c>
      <c r="D50" s="22" t="str">
        <f aca="false">IF(OR($A$50="",Monthly!D$5=""),"",SUMPRODUCT((Monthly!$AB$31:$AB$50=$A$50)*(Monthly!D$31:D$50&gt;0)))</f>
        <v/>
      </c>
      <c r="E50" s="22" t="str">
        <f aca="false">IF(OR($A$50="",Monthly!E$5=""),"",SUMPRODUCT((Monthly!$AB$31:$AB$50=$A$50)*(Monthly!E$31:E$50&gt;0)))</f>
        <v/>
      </c>
      <c r="F50" s="22" t="str">
        <f aca="false">IF(OR($A$50="",Monthly!F$5=""),"",SUMPRODUCT((Monthly!$AB$31:$AB$50=$A$50)*(Monthly!F$31:F$50&gt;0)))</f>
        <v/>
      </c>
      <c r="G50" s="22" t="str">
        <f aca="false">IF(OR($A$50="",Monthly!G$5=""),"",SUMPRODUCT((Monthly!$AB$31:$AB$50=$A$50)*(Monthly!G$31:G$50&gt;0)))</f>
        <v/>
      </c>
      <c r="H50" s="22" t="str">
        <f aca="false">IF(OR($A$50="",Monthly!H$5=""),"",SUMPRODUCT((Monthly!$AB$31:$AB$50=$A$50)*(Monthly!H$31:H$50&gt;0)))</f>
        <v/>
      </c>
      <c r="I50" s="22" t="str">
        <f aca="false">IF(OR($A$50="",Monthly!I$5=""),"",SUMPRODUCT((Monthly!$AB$31:$AB$50=$A$50)*(Monthly!I$31:I$50&gt;0)))</f>
        <v/>
      </c>
      <c r="J50" s="22" t="str">
        <f aca="false">IF(OR($A$50="",Monthly!J$5=""),"",SUMPRODUCT((Monthly!$AB$31:$AB$50=$A$50)*(Monthly!J$31:J$50&gt;0)))</f>
        <v/>
      </c>
      <c r="K50" s="22" t="str">
        <f aca="false">IF(OR($A$50="",Monthly!K$5=""),"",SUMPRODUCT((Monthly!$AB$31:$AB$50=$A$50)*(Monthly!K$31:K$50&gt;0)))</f>
        <v/>
      </c>
      <c r="L50" s="22" t="str">
        <f aca="false">IF(OR($A$50="",Monthly!L$5=""),"",SUMPRODUCT((Monthly!$AB$31:$AB$50=$A$50)*(Monthly!L$31:L$50&gt;0)))</f>
        <v/>
      </c>
      <c r="M50" s="22" t="str">
        <f aca="false">IF(OR($A$50="",Monthly!M$5=""),"",SUMPRODUCT((Monthly!$AB$31:$AB$50=$A$50)*(Monthly!M$31:M$50&gt;0)))</f>
        <v/>
      </c>
      <c r="N50" s="22" t="str">
        <f aca="false">IF(OR($A$50="",Monthly!N$5=""),"",SUMPRODUCT((Monthly!$AB$31:$AB$50=$A$50)*(Monthly!N$31:N$50&gt;0)))</f>
        <v/>
      </c>
      <c r="O50" s="22" t="str">
        <f aca="false">IF(OR($A$50="",Monthly!O$5=""),"",SUMPRODUCT((Monthly!$AB$31:$AB$50=$A$50)*(Monthly!O$31:O$50&gt;0)))</f>
        <v/>
      </c>
      <c r="P50" s="22" t="str">
        <f aca="false">IF(OR($A$50="",Monthly!P$5=""),"",SUMPRODUCT((Monthly!$AB$31:$AB$50=$A$50)*(Monthly!P$31:P$50&gt;0)))</f>
        <v/>
      </c>
      <c r="Q50" s="22" t="str">
        <f aca="false">IF(OR($A$50="",Monthly!Q$5=""),"",SUMPRODUCT((Monthly!$AB$31:$AB$50=$A$50)*(Monthly!Q$31:Q$50&gt;0)))</f>
        <v/>
      </c>
      <c r="R50" s="22" t="str">
        <f aca="false">IF(OR($A$50="",Monthly!R$5=""),"",SUMPRODUCT((Monthly!$AB$31:$AB$50=$A$50)*(Monthly!R$31:R$50&gt;0)))</f>
        <v/>
      </c>
      <c r="S50" s="22" t="str">
        <f aca="false">IF(OR($A$50="",Monthly!S$5=""),"",SUMPRODUCT((Monthly!$AB$31:$AB$50=$A$50)*(Monthly!S$31:S$50&gt;0)))</f>
        <v/>
      </c>
      <c r="T50" s="22" t="str">
        <f aca="false">IF(OR($A$50="",Monthly!T$5=""),"",SUMPRODUCT((Monthly!$AB$31:$AB$50=$A$50)*(Monthly!T$31:T$50&gt;0)))</f>
        <v/>
      </c>
      <c r="U50" s="22" t="str">
        <f aca="false">IF(OR($A$50="",Monthly!U$5=""),"",SUMPRODUCT((Monthly!$AB$31:$AB$50=$A$50)*(Monthly!U$31:U$50&gt;0)))</f>
        <v/>
      </c>
      <c r="V50" s="22" t="str">
        <f aca="false">IF(OR($A$50="",Monthly!V$5=""),"",SUMPRODUCT((Monthly!$AB$31:$AB$50=$A$50)*(Monthly!V$31:V$50&gt;0)))</f>
        <v/>
      </c>
      <c r="W50" s="22" t="str">
        <f aca="false">IF(OR($A$50="",Monthly!W$5=""),"",SUMPRODUCT((Monthly!$AB$31:$AB$50=$A$50)*(Monthly!W$31:W$50&gt;0)))</f>
        <v/>
      </c>
      <c r="X50" s="22" t="str">
        <f aca="false">IF(OR($A$50="",Monthly!X$5=""),"",SUMPRODUCT((Monthly!$AB$31:$AB$50=$A$50)*(Monthly!X$31:X$50&gt;0)))</f>
        <v/>
      </c>
      <c r="Y50" s="22" t="str">
        <f aca="false">IF(OR($A$50="",Monthly!Y$5=""),"",SUMPRODUCT((Monthly!$AB$31:$AB$50=$A$50)*(Monthly!Y$31:Y$50&gt;0)))</f>
        <v/>
      </c>
      <c r="Z50" s="22" t="str">
        <f aca="false">IF(OR($A$50="",Monthly!Z$5=""),"",SUMPRODUCT((Monthly!$AB$31:$AB$50=$A$50)*(Monthly!Z$31:Z$50&gt;0)))</f>
        <v/>
      </c>
      <c r="AA50" s="37" t="str">
        <f aca="false">IF($A$50="","",MAX(C50:Z50))</f>
        <v/>
      </c>
    </row>
    <row r="51" customFormat="false" ht="15" hidden="false" customHeight="false" outlineLevel="0" collapsed="false">
      <c r="B51" s="36" t="s">
        <v>149</v>
      </c>
      <c r="C51" s="35" t="str">
        <f aca="false">IF(OR($A$50="",Monthly!C$5=""),"",SUMIF(Monthly!$AB$31:$AB$50,$A$50,Monthly!C$31:C$50))</f>
        <v/>
      </c>
      <c r="D51" s="35" t="str">
        <f aca="false">IF(OR($A$50="",Monthly!D$5=""),"",SUMIF(Monthly!$AB$31:$AB$50,$A$50,Monthly!D$31:D$50))</f>
        <v/>
      </c>
      <c r="E51" s="35" t="str">
        <f aca="false">IF(OR($A$50="",Monthly!E$5=""),"",SUMIF(Monthly!$AB$31:$AB$50,$A$50,Monthly!E$31:E$50))</f>
        <v/>
      </c>
      <c r="F51" s="35" t="str">
        <f aca="false">IF(OR($A$50="",Monthly!F$5=""),"",SUMIF(Monthly!$AB$31:$AB$50,$A$50,Monthly!F$31:F$50))</f>
        <v/>
      </c>
      <c r="G51" s="35" t="str">
        <f aca="false">IF(OR($A$50="",Monthly!G$5=""),"",SUMIF(Monthly!$AB$31:$AB$50,$A$50,Monthly!G$31:G$50))</f>
        <v/>
      </c>
      <c r="H51" s="35" t="str">
        <f aca="false">IF(OR($A$50="",Monthly!H$5=""),"",SUMIF(Monthly!$AB$31:$AB$50,$A$50,Monthly!H$31:H$50))</f>
        <v/>
      </c>
      <c r="I51" s="35" t="str">
        <f aca="false">IF(OR($A$50="",Monthly!I$5=""),"",SUMIF(Monthly!$AB$31:$AB$50,$A$50,Monthly!I$31:I$50))</f>
        <v/>
      </c>
      <c r="J51" s="35" t="str">
        <f aca="false">IF(OR($A$50="",Monthly!J$5=""),"",SUMIF(Monthly!$AB$31:$AB$50,$A$50,Monthly!J$31:J$50))</f>
        <v/>
      </c>
      <c r="K51" s="35" t="str">
        <f aca="false">IF(OR($A$50="",Monthly!K$5=""),"",SUMIF(Monthly!$AB$31:$AB$50,$A$50,Monthly!K$31:K$50))</f>
        <v/>
      </c>
      <c r="L51" s="35" t="str">
        <f aca="false">IF(OR($A$50="",Monthly!L$5=""),"",SUMIF(Monthly!$AB$31:$AB$50,$A$50,Monthly!L$31:L$50))</f>
        <v/>
      </c>
      <c r="M51" s="35" t="str">
        <f aca="false">IF(OR($A$50="",Monthly!M$5=""),"",SUMIF(Monthly!$AB$31:$AB$50,$A$50,Monthly!M$31:M$50))</f>
        <v/>
      </c>
      <c r="N51" s="35" t="str">
        <f aca="false">IF(OR($A$50="",Monthly!N$5=""),"",SUMIF(Monthly!$AB$31:$AB$50,$A$50,Monthly!N$31:N$50))</f>
        <v/>
      </c>
      <c r="O51" s="35" t="str">
        <f aca="false">IF(OR($A$50="",Monthly!O$5=""),"",SUMIF(Monthly!$AB$31:$AB$50,$A$50,Monthly!O$31:O$50))</f>
        <v/>
      </c>
      <c r="P51" s="35" t="str">
        <f aca="false">IF(OR($A$50="",Monthly!P$5=""),"",SUMIF(Monthly!$AB$31:$AB$50,$A$50,Monthly!P$31:P$50))</f>
        <v/>
      </c>
      <c r="Q51" s="35" t="str">
        <f aca="false">IF(OR($A$50="",Monthly!Q$5=""),"",SUMIF(Monthly!$AB$31:$AB$50,$A$50,Monthly!Q$31:Q$50))</f>
        <v/>
      </c>
      <c r="R51" s="35" t="str">
        <f aca="false">IF(OR($A$50="",Monthly!R$5=""),"",SUMIF(Monthly!$AB$31:$AB$50,$A$50,Monthly!R$31:R$50))</f>
        <v/>
      </c>
      <c r="S51" s="35" t="str">
        <f aca="false">IF(OR($A$50="",Monthly!S$5=""),"",SUMIF(Monthly!$AB$31:$AB$50,$A$50,Monthly!S$31:S$50))</f>
        <v/>
      </c>
      <c r="T51" s="35" t="str">
        <f aca="false">IF(OR($A$50="",Monthly!T$5=""),"",SUMIF(Monthly!$AB$31:$AB$50,$A$50,Monthly!T$31:T$50))</f>
        <v/>
      </c>
      <c r="U51" s="35" t="str">
        <f aca="false">IF(OR($A$50="",Monthly!U$5=""),"",SUMIF(Monthly!$AB$31:$AB$50,$A$50,Monthly!U$31:U$50))</f>
        <v/>
      </c>
      <c r="V51" s="35" t="str">
        <f aca="false">IF(OR($A$50="",Monthly!V$5=""),"",SUMIF(Monthly!$AB$31:$AB$50,$A$50,Monthly!V$31:V$50))</f>
        <v/>
      </c>
      <c r="W51" s="35" t="str">
        <f aca="false">IF(OR($A$50="",Monthly!W$5=""),"",SUMIF(Monthly!$AB$31:$AB$50,$A$50,Monthly!W$31:W$50))</f>
        <v/>
      </c>
      <c r="X51" s="35" t="str">
        <f aca="false">IF(OR($A$50="",Monthly!X$5=""),"",SUMIF(Monthly!$AB$31:$AB$50,$A$50,Monthly!X$31:X$50))</f>
        <v/>
      </c>
      <c r="Y51" s="35" t="str">
        <f aca="false">IF(OR($A$50="",Monthly!Y$5=""),"",SUMIF(Monthly!$AB$31:$AB$50,$A$50,Monthly!Y$31:Y$50))</f>
        <v/>
      </c>
      <c r="Z51" s="35" t="str">
        <f aca="false">IF(OR($A$50="",Monthly!Z$5=""),"",SUMIF(Monthly!$AB$31:$AB$50,$A$50,Monthly!Z$31:Z$50))</f>
        <v/>
      </c>
      <c r="AA51" s="24" t="str">
        <f aca="false">IF($A$50="","",SUM(C51:Z51))</f>
        <v/>
      </c>
    </row>
    <row r="52" customFormat="false" ht="15" hidden="false" customHeight="false" outlineLevel="0" collapsed="false">
      <c r="B52" s="3" t="s">
        <v>151</v>
      </c>
      <c r="C52" s="7" t="str">
        <f aca="false">IF(OR($A$50="",Monthly!C$5=""),"",SUMIF(Monthly!$AB$31:$AB$50,$A$50,Monthly!C$53:C$72))</f>
        <v/>
      </c>
      <c r="D52" s="7" t="str">
        <f aca="false">IF(OR($A$50="",Monthly!D$5=""),"",SUMIF(Monthly!$AB$31:$AB$50,$A$50,Monthly!D$53:D$72))</f>
        <v/>
      </c>
      <c r="E52" s="7" t="str">
        <f aca="false">IF(OR($A$50="",Monthly!E$5=""),"",SUMIF(Monthly!$AB$31:$AB$50,$A$50,Monthly!E$53:E$72))</f>
        <v/>
      </c>
      <c r="F52" s="7" t="str">
        <f aca="false">IF(OR($A$50="",Monthly!F$5=""),"",SUMIF(Monthly!$AB$31:$AB$50,$A$50,Monthly!F$53:F$72))</f>
        <v/>
      </c>
      <c r="G52" s="7" t="str">
        <f aca="false">IF(OR($A$50="",Monthly!G$5=""),"",SUMIF(Monthly!$AB$31:$AB$50,$A$50,Monthly!G$53:G$72))</f>
        <v/>
      </c>
      <c r="H52" s="7" t="str">
        <f aca="false">IF(OR($A$50="",Monthly!H$5=""),"",SUMIF(Monthly!$AB$31:$AB$50,$A$50,Monthly!H$53:H$72))</f>
        <v/>
      </c>
      <c r="I52" s="7" t="str">
        <f aca="false">IF(OR($A$50="",Monthly!I$5=""),"",SUMIF(Monthly!$AB$31:$AB$50,$A$50,Monthly!I$53:I$72))</f>
        <v/>
      </c>
      <c r="J52" s="7" t="str">
        <f aca="false">IF(OR($A$50="",Monthly!J$5=""),"",SUMIF(Monthly!$AB$31:$AB$50,$A$50,Monthly!J$53:J$72))</f>
        <v/>
      </c>
      <c r="K52" s="7" t="str">
        <f aca="false">IF(OR($A$50="",Monthly!K$5=""),"",SUMIF(Monthly!$AB$31:$AB$50,$A$50,Monthly!K$53:K$72))</f>
        <v/>
      </c>
      <c r="L52" s="7" t="str">
        <f aca="false">IF(OR($A$50="",Monthly!L$5=""),"",SUMIF(Monthly!$AB$31:$AB$50,$A$50,Monthly!L$53:L$72))</f>
        <v/>
      </c>
      <c r="M52" s="7" t="str">
        <f aca="false">IF(OR($A$50="",Monthly!M$5=""),"",SUMIF(Monthly!$AB$31:$AB$50,$A$50,Monthly!M$53:M$72))</f>
        <v/>
      </c>
      <c r="N52" s="7" t="str">
        <f aca="false">IF(OR($A$50="",Monthly!N$5=""),"",SUMIF(Monthly!$AB$31:$AB$50,$A$50,Monthly!N$53:N$72))</f>
        <v/>
      </c>
      <c r="O52" s="7" t="str">
        <f aca="false">IF(OR($A$50="",Monthly!O$5=""),"",SUMIF(Monthly!$AB$31:$AB$50,$A$50,Monthly!O$53:O$72))</f>
        <v/>
      </c>
      <c r="P52" s="7" t="str">
        <f aca="false">IF(OR($A$50="",Monthly!P$5=""),"",SUMIF(Monthly!$AB$31:$AB$50,$A$50,Monthly!P$53:P$72))</f>
        <v/>
      </c>
      <c r="Q52" s="7" t="str">
        <f aca="false">IF(OR($A$50="",Monthly!Q$5=""),"",SUMIF(Monthly!$AB$31:$AB$50,$A$50,Monthly!Q$53:Q$72))</f>
        <v/>
      </c>
      <c r="R52" s="7" t="str">
        <f aca="false">IF(OR($A$50="",Monthly!R$5=""),"",SUMIF(Monthly!$AB$31:$AB$50,$A$50,Monthly!R$53:R$72))</f>
        <v/>
      </c>
      <c r="S52" s="7" t="str">
        <f aca="false">IF(OR($A$50="",Monthly!S$5=""),"",SUMIF(Monthly!$AB$31:$AB$50,$A$50,Monthly!S$53:S$72))</f>
        <v/>
      </c>
      <c r="T52" s="7" t="str">
        <f aca="false">IF(OR($A$50="",Monthly!T$5=""),"",SUMIF(Monthly!$AB$31:$AB$50,$A$50,Monthly!T$53:T$72))</f>
        <v/>
      </c>
      <c r="U52" s="7" t="str">
        <f aca="false">IF(OR($A$50="",Monthly!U$5=""),"",SUMIF(Monthly!$AB$31:$AB$50,$A$50,Monthly!U$53:U$72))</f>
        <v/>
      </c>
      <c r="V52" s="7" t="str">
        <f aca="false">IF(OR($A$50="",Monthly!V$5=""),"",SUMIF(Monthly!$AB$31:$AB$50,$A$50,Monthly!V$53:V$72))</f>
        <v/>
      </c>
      <c r="W52" s="7" t="str">
        <f aca="false">IF(OR($A$50="",Monthly!W$5=""),"",SUMIF(Monthly!$AB$31:$AB$50,$A$50,Monthly!W$53:W$72))</f>
        <v/>
      </c>
      <c r="X52" s="7" t="str">
        <f aca="false">IF(OR($A$50="",Monthly!X$5=""),"",SUMIF(Monthly!$AB$31:$AB$50,$A$50,Monthly!X$53:X$72))</f>
        <v/>
      </c>
      <c r="Y52" s="7" t="str">
        <f aca="false">IF(OR($A$50="",Monthly!Y$5=""),"",SUMIF(Monthly!$AB$31:$AB$50,$A$50,Monthly!Y$53:Y$72))</f>
        <v/>
      </c>
      <c r="Z52" s="7" t="str">
        <f aca="false">IF(OR($A$50="",Monthly!Z$5=""),"",SUMIF(Monthly!$AB$31:$AB$50,$A$50,Monthly!Z$53:Z$72))</f>
        <v/>
      </c>
      <c r="AA52" s="25" t="str">
        <f aca="false">IF($A$50="","",SUM(C52:Z52))</f>
        <v/>
      </c>
    </row>
    <row r="53" customFormat="false" ht="15" hidden="false" customHeight="false" outlineLevel="0" collapsed="false">
      <c r="B53" s="36" t="s">
        <v>160</v>
      </c>
      <c r="C53" s="7" t="str">
        <f aca="false">IF(OR($A$50="",Monthly!C$5=""),"",SUMIF(Monthly!$AB$31:$AB$50,$A$50,Monthly!C$75:C$94))</f>
        <v/>
      </c>
      <c r="D53" s="7" t="str">
        <f aca="false">IF(OR($A$50="",Monthly!D$5=""),"",SUMIF(Monthly!$AB$31:$AB$50,$A$50,Monthly!D$75:D$94))</f>
        <v/>
      </c>
      <c r="E53" s="7" t="str">
        <f aca="false">IF(OR($A$50="",Monthly!E$5=""),"",SUMIF(Monthly!$AB$31:$AB$50,$A$50,Monthly!E$75:E$94))</f>
        <v/>
      </c>
      <c r="F53" s="7" t="str">
        <f aca="false">IF(OR($A$50="",Monthly!F$5=""),"",SUMIF(Monthly!$AB$31:$AB$50,$A$50,Monthly!F$75:F$94))</f>
        <v/>
      </c>
      <c r="G53" s="7" t="str">
        <f aca="false">IF(OR($A$50="",Monthly!G$5=""),"",SUMIF(Monthly!$AB$31:$AB$50,$A$50,Monthly!G$75:G$94))</f>
        <v/>
      </c>
      <c r="H53" s="7" t="str">
        <f aca="false">IF(OR($A$50="",Monthly!H$5=""),"",SUMIF(Monthly!$AB$31:$AB$50,$A$50,Monthly!H$75:H$94))</f>
        <v/>
      </c>
      <c r="I53" s="7" t="str">
        <f aca="false">IF(OR($A$50="",Monthly!I$5=""),"",SUMIF(Monthly!$AB$31:$AB$50,$A$50,Monthly!I$75:I$94))</f>
        <v/>
      </c>
      <c r="J53" s="7" t="str">
        <f aca="false">IF(OR($A$50="",Monthly!J$5=""),"",SUMIF(Monthly!$AB$31:$AB$50,$A$50,Monthly!J$75:J$94))</f>
        <v/>
      </c>
      <c r="K53" s="7" t="str">
        <f aca="false">IF(OR($A$50="",Monthly!K$5=""),"",SUMIF(Monthly!$AB$31:$AB$50,$A$50,Monthly!K$75:K$94))</f>
        <v/>
      </c>
      <c r="L53" s="7" t="str">
        <f aca="false">IF(OR($A$50="",Monthly!L$5=""),"",SUMIF(Monthly!$AB$31:$AB$50,$A$50,Monthly!L$75:L$94))</f>
        <v/>
      </c>
      <c r="M53" s="7" t="str">
        <f aca="false">IF(OR($A$50="",Monthly!M$5=""),"",SUMIF(Monthly!$AB$31:$AB$50,$A$50,Monthly!M$75:M$94))</f>
        <v/>
      </c>
      <c r="N53" s="7" t="str">
        <f aca="false">IF(OR($A$50="",Monthly!N$5=""),"",SUMIF(Monthly!$AB$31:$AB$50,$A$50,Monthly!N$75:N$94))</f>
        <v/>
      </c>
      <c r="O53" s="7" t="str">
        <f aca="false">IF(OR($A$50="",Monthly!O$5=""),"",SUMIF(Monthly!$AB$31:$AB$50,$A$50,Monthly!O$75:O$94))</f>
        <v/>
      </c>
      <c r="P53" s="7" t="str">
        <f aca="false">IF(OR($A$50="",Monthly!P$5=""),"",SUMIF(Monthly!$AB$31:$AB$50,$A$50,Monthly!P$75:P$94))</f>
        <v/>
      </c>
      <c r="Q53" s="7" t="str">
        <f aca="false">IF(OR($A$50="",Monthly!Q$5=""),"",SUMIF(Monthly!$AB$31:$AB$50,$A$50,Monthly!Q$75:Q$94))</f>
        <v/>
      </c>
      <c r="R53" s="7" t="str">
        <f aca="false">IF(OR($A$50="",Monthly!R$5=""),"",SUMIF(Monthly!$AB$31:$AB$50,$A$50,Monthly!R$75:R$94))</f>
        <v/>
      </c>
      <c r="S53" s="7" t="str">
        <f aca="false">IF(OR($A$50="",Monthly!S$5=""),"",SUMIF(Monthly!$AB$31:$AB$50,$A$50,Monthly!S$75:S$94))</f>
        <v/>
      </c>
      <c r="T53" s="7" t="str">
        <f aca="false">IF(OR($A$50="",Monthly!T$5=""),"",SUMIF(Monthly!$AB$31:$AB$50,$A$50,Monthly!T$75:T$94))</f>
        <v/>
      </c>
      <c r="U53" s="7" t="str">
        <f aca="false">IF(OR($A$50="",Monthly!U$5=""),"",SUMIF(Monthly!$AB$31:$AB$50,$A$50,Monthly!U$75:U$94))</f>
        <v/>
      </c>
      <c r="V53" s="7" t="str">
        <f aca="false">IF(OR($A$50="",Monthly!V$5=""),"",SUMIF(Monthly!$AB$31:$AB$50,$A$50,Monthly!V$75:V$94))</f>
        <v/>
      </c>
      <c r="W53" s="7" t="str">
        <f aca="false">IF(OR($A$50="",Monthly!W$5=""),"",SUMIF(Monthly!$AB$31:$AB$50,$A$50,Monthly!W$75:W$94))</f>
        <v/>
      </c>
      <c r="X53" s="7" t="str">
        <f aca="false">IF(OR($A$50="",Monthly!X$5=""),"",SUMIF(Monthly!$AB$31:$AB$50,$A$50,Monthly!X$75:X$94))</f>
        <v/>
      </c>
      <c r="Y53" s="7" t="str">
        <f aca="false">IF(OR($A$50="",Monthly!Y$5=""),"",SUMIF(Monthly!$AB$31:$AB$50,$A$50,Monthly!Y$75:Y$94))</f>
        <v/>
      </c>
      <c r="Z53" s="7" t="str">
        <f aca="false">IF(OR($A$50="",Monthly!Z$5=""),"",SUMIF(Monthly!$AB$31:$AB$50,$A$50,Monthly!Z$75:Z$94))</f>
        <v/>
      </c>
      <c r="AA53" s="25" t="str">
        <f aca="false">IF($A$50="","",SUM(C53:Z53))</f>
        <v/>
      </c>
    </row>
    <row r="54" customFormat="false" ht="15" hidden="false" customHeight="false" outlineLevel="0" collapsed="false">
      <c r="B54" s="3" t="s">
        <v>25</v>
      </c>
      <c r="C54" s="7" t="str">
        <f aca="false">IF(C52="","",C52-C53)</f>
        <v/>
      </c>
      <c r="D54" s="7" t="str">
        <f aca="false">IF(D52="","",D52-D53)</f>
        <v/>
      </c>
      <c r="E54" s="7" t="str">
        <f aca="false">IF(E52="","",E52-E53)</f>
        <v/>
      </c>
      <c r="F54" s="7" t="str">
        <f aca="false">IF(F52="","",F52-F53)</f>
        <v/>
      </c>
      <c r="G54" s="7" t="str">
        <f aca="false">IF(G52="","",G52-G53)</f>
        <v/>
      </c>
      <c r="H54" s="7" t="str">
        <f aca="false">IF(H52="","",H52-H53)</f>
        <v/>
      </c>
      <c r="I54" s="7" t="str">
        <f aca="false">IF(I52="","",I52-I53)</f>
        <v/>
      </c>
      <c r="J54" s="7" t="str">
        <f aca="false">IF(J52="","",J52-J53)</f>
        <v/>
      </c>
      <c r="K54" s="7" t="str">
        <f aca="false">IF(K52="","",K52-K53)</f>
        <v/>
      </c>
      <c r="L54" s="7" t="str">
        <f aca="false">IF(L52="","",L52-L53)</f>
        <v/>
      </c>
      <c r="M54" s="7" t="str">
        <f aca="false">IF(M52="","",M52-M53)</f>
        <v/>
      </c>
      <c r="N54" s="7" t="str">
        <f aca="false">IF(N52="","",N52-N53)</f>
        <v/>
      </c>
      <c r="O54" s="7" t="str">
        <f aca="false">IF(O52="","",O52-O53)</f>
        <v/>
      </c>
      <c r="P54" s="7" t="str">
        <f aca="false">IF(P52="","",P52-P53)</f>
        <v/>
      </c>
      <c r="Q54" s="7" t="str">
        <f aca="false">IF(Q52="","",Q52-Q53)</f>
        <v/>
      </c>
      <c r="R54" s="7" t="str">
        <f aca="false">IF(R52="","",R52-R53)</f>
        <v/>
      </c>
      <c r="S54" s="7" t="str">
        <f aca="false">IF(S52="","",S52-S53)</f>
        <v/>
      </c>
      <c r="T54" s="7" t="str">
        <f aca="false">IF(T52="","",T52-T53)</f>
        <v/>
      </c>
      <c r="U54" s="7" t="str">
        <f aca="false">IF(U52="","",U52-U53)</f>
        <v/>
      </c>
      <c r="V54" s="7" t="str">
        <f aca="false">IF(V52="","",V52-V53)</f>
        <v/>
      </c>
      <c r="W54" s="7" t="str">
        <f aca="false">IF(W52="","",W52-W53)</f>
        <v/>
      </c>
      <c r="X54" s="7" t="str">
        <f aca="false">IF(X52="","",X52-X53)</f>
        <v/>
      </c>
      <c r="Y54" s="7" t="str">
        <f aca="false">IF(Y52="","",Y52-Y53)</f>
        <v/>
      </c>
      <c r="Z54" s="7" t="str">
        <f aca="false">IF(Z52="","",Z52-Z53)</f>
        <v/>
      </c>
      <c r="AA54" s="25" t="str">
        <f aca="false">IF($A$50="","",SUM(C54:Z54))</f>
        <v/>
      </c>
    </row>
    <row r="55" customFormat="false" ht="15" hidden="false" customHeight="false" outlineLevel="0" collapsed="false">
      <c r="B55" s="3" t="s">
        <v>27</v>
      </c>
      <c r="C55" s="12" t="str">
        <f aca="false">IF(OR(C52="",C52=0),"",C54/C52)</f>
        <v/>
      </c>
      <c r="D55" s="12" t="str">
        <f aca="false">IF(OR(D52="",D52=0),"",D54/D52)</f>
        <v/>
      </c>
      <c r="E55" s="12" t="str">
        <f aca="false">IF(OR(E52="",E52=0),"",E54/E52)</f>
        <v/>
      </c>
      <c r="F55" s="12" t="str">
        <f aca="false">IF(OR(F52="",F52=0),"",F54/F52)</f>
        <v/>
      </c>
      <c r="G55" s="12" t="str">
        <f aca="false">IF(OR(G52="",G52=0),"",G54/G52)</f>
        <v/>
      </c>
      <c r="H55" s="12" t="str">
        <f aca="false">IF(OR(H52="",H52=0),"",H54/H52)</f>
        <v/>
      </c>
      <c r="I55" s="12" t="str">
        <f aca="false">IF(OR(I52="",I52=0),"",I54/I52)</f>
        <v/>
      </c>
      <c r="J55" s="12" t="str">
        <f aca="false">IF(OR(J52="",J52=0),"",J54/J52)</f>
        <v/>
      </c>
      <c r="K55" s="12" t="str">
        <f aca="false">IF(OR(K52="",K52=0),"",K54/K52)</f>
        <v/>
      </c>
      <c r="L55" s="12" t="str">
        <f aca="false">IF(OR(L52="",L52=0),"",L54/L52)</f>
        <v/>
      </c>
      <c r="M55" s="12" t="str">
        <f aca="false">IF(OR(M52="",M52=0),"",M54/M52)</f>
        <v/>
      </c>
      <c r="N55" s="12" t="str">
        <f aca="false">IF(OR(N52="",N52=0),"",N54/N52)</f>
        <v/>
      </c>
      <c r="O55" s="12" t="str">
        <f aca="false">IF(OR(O52="",O52=0),"",O54/O52)</f>
        <v/>
      </c>
      <c r="P55" s="12" t="str">
        <f aca="false">IF(OR(P52="",P52=0),"",P54/P52)</f>
        <v/>
      </c>
      <c r="Q55" s="12" t="str">
        <f aca="false">IF(OR(Q52="",Q52=0),"",Q54/Q52)</f>
        <v/>
      </c>
      <c r="R55" s="12" t="str">
        <f aca="false">IF(OR(R52="",R52=0),"",R54/R52)</f>
        <v/>
      </c>
      <c r="S55" s="12" t="str">
        <f aca="false">IF(OR(S52="",S52=0),"",S54/S52)</f>
        <v/>
      </c>
      <c r="T55" s="12" t="str">
        <f aca="false">IF(OR(T52="",T52=0),"",T54/T52)</f>
        <v/>
      </c>
      <c r="U55" s="12" t="str">
        <f aca="false">IF(OR(U52="",U52=0),"",U54/U52)</f>
        <v/>
      </c>
      <c r="V55" s="12" t="str">
        <f aca="false">IF(OR(V52="",V52=0),"",V54/V52)</f>
        <v/>
      </c>
      <c r="W55" s="12" t="str">
        <f aca="false">IF(OR(W52="",W52=0),"",W54/W52)</f>
        <v/>
      </c>
      <c r="X55" s="12" t="str">
        <f aca="false">IF(OR(X52="",X52=0),"",X54/X52)</f>
        <v/>
      </c>
      <c r="Y55" s="12" t="str">
        <f aca="false">IF(OR(Y52="",Y52=0),"",Y54/Y52)</f>
        <v/>
      </c>
      <c r="Z55" s="12" t="str">
        <f aca="false">IF(OR(Z52="",Z52=0),"",Z54/Z52)</f>
        <v/>
      </c>
      <c r="AA55" s="26" t="str">
        <f aca="false">IF(OR($A$50="",AA52="",AA52=0),"",AA54/AA52)</f>
        <v/>
      </c>
    </row>
    <row r="57" customFormat="false" ht="15" hidden="false" customHeight="false" outlineLevel="0" collapsed="false">
      <c r="A57" s="40" t="str">
        <f aca="false">IF('Cost Margin'!$V$38="","",'Cost Margin'!$V$38)</f>
        <v/>
      </c>
      <c r="B57" s="36" t="s">
        <v>62</v>
      </c>
      <c r="C57" s="22" t="str">
        <f aca="false">IF(OR($A$57="",Monthly!C$5=""),"",SUMPRODUCT((Monthly!$AB$31:$AB$50=$A$57)*(Monthly!C$31:C$50&gt;0)))</f>
        <v/>
      </c>
      <c r="D57" s="22" t="str">
        <f aca="false">IF(OR($A$57="",Monthly!D$5=""),"",SUMPRODUCT((Monthly!$AB$31:$AB$50=$A$57)*(Monthly!D$31:D$50&gt;0)))</f>
        <v/>
      </c>
      <c r="E57" s="22" t="str">
        <f aca="false">IF(OR($A$57="",Monthly!E$5=""),"",SUMPRODUCT((Monthly!$AB$31:$AB$50=$A$57)*(Monthly!E$31:E$50&gt;0)))</f>
        <v/>
      </c>
      <c r="F57" s="22" t="str">
        <f aca="false">IF(OR($A$57="",Monthly!F$5=""),"",SUMPRODUCT((Monthly!$AB$31:$AB$50=$A$57)*(Monthly!F$31:F$50&gt;0)))</f>
        <v/>
      </c>
      <c r="G57" s="22" t="str">
        <f aca="false">IF(OR($A$57="",Monthly!G$5=""),"",SUMPRODUCT((Monthly!$AB$31:$AB$50=$A$57)*(Monthly!G$31:G$50&gt;0)))</f>
        <v/>
      </c>
      <c r="H57" s="22" t="str">
        <f aca="false">IF(OR($A$57="",Monthly!H$5=""),"",SUMPRODUCT((Monthly!$AB$31:$AB$50=$A$57)*(Monthly!H$31:H$50&gt;0)))</f>
        <v/>
      </c>
      <c r="I57" s="22" t="str">
        <f aca="false">IF(OR($A$57="",Monthly!I$5=""),"",SUMPRODUCT((Monthly!$AB$31:$AB$50=$A$57)*(Monthly!I$31:I$50&gt;0)))</f>
        <v/>
      </c>
      <c r="J57" s="22" t="str">
        <f aca="false">IF(OR($A$57="",Monthly!J$5=""),"",SUMPRODUCT((Monthly!$AB$31:$AB$50=$A$57)*(Monthly!J$31:J$50&gt;0)))</f>
        <v/>
      </c>
      <c r="K57" s="22" t="str">
        <f aca="false">IF(OR($A$57="",Monthly!K$5=""),"",SUMPRODUCT((Monthly!$AB$31:$AB$50=$A$57)*(Monthly!K$31:K$50&gt;0)))</f>
        <v/>
      </c>
      <c r="L57" s="22" t="str">
        <f aca="false">IF(OR($A$57="",Monthly!L$5=""),"",SUMPRODUCT((Monthly!$AB$31:$AB$50=$A$57)*(Monthly!L$31:L$50&gt;0)))</f>
        <v/>
      </c>
      <c r="M57" s="22" t="str">
        <f aca="false">IF(OR($A$57="",Monthly!M$5=""),"",SUMPRODUCT((Monthly!$AB$31:$AB$50=$A$57)*(Monthly!M$31:M$50&gt;0)))</f>
        <v/>
      </c>
      <c r="N57" s="22" t="str">
        <f aca="false">IF(OR($A$57="",Monthly!N$5=""),"",SUMPRODUCT((Monthly!$AB$31:$AB$50=$A$57)*(Monthly!N$31:N$50&gt;0)))</f>
        <v/>
      </c>
      <c r="O57" s="22" t="str">
        <f aca="false">IF(OR($A$57="",Monthly!O$5=""),"",SUMPRODUCT((Monthly!$AB$31:$AB$50=$A$57)*(Monthly!O$31:O$50&gt;0)))</f>
        <v/>
      </c>
      <c r="P57" s="22" t="str">
        <f aca="false">IF(OR($A$57="",Monthly!P$5=""),"",SUMPRODUCT((Monthly!$AB$31:$AB$50=$A$57)*(Monthly!P$31:P$50&gt;0)))</f>
        <v/>
      </c>
      <c r="Q57" s="22" t="str">
        <f aca="false">IF(OR($A$57="",Monthly!Q$5=""),"",SUMPRODUCT((Monthly!$AB$31:$AB$50=$A$57)*(Monthly!Q$31:Q$50&gt;0)))</f>
        <v/>
      </c>
      <c r="R57" s="22" t="str">
        <f aca="false">IF(OR($A$57="",Monthly!R$5=""),"",SUMPRODUCT((Monthly!$AB$31:$AB$50=$A$57)*(Monthly!R$31:R$50&gt;0)))</f>
        <v/>
      </c>
      <c r="S57" s="22" t="str">
        <f aca="false">IF(OR($A$57="",Monthly!S$5=""),"",SUMPRODUCT((Monthly!$AB$31:$AB$50=$A$57)*(Monthly!S$31:S$50&gt;0)))</f>
        <v/>
      </c>
      <c r="T57" s="22" t="str">
        <f aca="false">IF(OR($A$57="",Monthly!T$5=""),"",SUMPRODUCT((Monthly!$AB$31:$AB$50=$A$57)*(Monthly!T$31:T$50&gt;0)))</f>
        <v/>
      </c>
      <c r="U57" s="22" t="str">
        <f aca="false">IF(OR($A$57="",Monthly!U$5=""),"",SUMPRODUCT((Monthly!$AB$31:$AB$50=$A$57)*(Monthly!U$31:U$50&gt;0)))</f>
        <v/>
      </c>
      <c r="V57" s="22" t="str">
        <f aca="false">IF(OR($A$57="",Monthly!V$5=""),"",SUMPRODUCT((Monthly!$AB$31:$AB$50=$A$57)*(Monthly!V$31:V$50&gt;0)))</f>
        <v/>
      </c>
      <c r="W57" s="22" t="str">
        <f aca="false">IF(OR($A$57="",Monthly!W$5=""),"",SUMPRODUCT((Monthly!$AB$31:$AB$50=$A$57)*(Monthly!W$31:W$50&gt;0)))</f>
        <v/>
      </c>
      <c r="X57" s="22" t="str">
        <f aca="false">IF(OR($A$57="",Monthly!X$5=""),"",SUMPRODUCT((Monthly!$AB$31:$AB$50=$A$57)*(Monthly!X$31:X$50&gt;0)))</f>
        <v/>
      </c>
      <c r="Y57" s="22" t="str">
        <f aca="false">IF(OR($A$57="",Monthly!Y$5=""),"",SUMPRODUCT((Monthly!$AB$31:$AB$50=$A$57)*(Monthly!Y$31:Y$50&gt;0)))</f>
        <v/>
      </c>
      <c r="Z57" s="22" t="str">
        <f aca="false">IF(OR($A$57="",Monthly!Z$5=""),"",SUMPRODUCT((Monthly!$AB$31:$AB$50=$A$57)*(Monthly!Z$31:Z$50&gt;0)))</f>
        <v/>
      </c>
      <c r="AA57" s="37" t="str">
        <f aca="false">IF($A$57="","",MAX(C57:Z57))</f>
        <v/>
      </c>
    </row>
    <row r="58" customFormat="false" ht="15" hidden="false" customHeight="false" outlineLevel="0" collapsed="false">
      <c r="B58" s="36" t="s">
        <v>149</v>
      </c>
      <c r="C58" s="35" t="str">
        <f aca="false">IF(OR($A$57="",Monthly!C$5=""),"",SUMIF(Monthly!$AB$31:$AB$50,$A$57,Monthly!C$31:C$50))</f>
        <v/>
      </c>
      <c r="D58" s="35" t="str">
        <f aca="false">IF(OR($A$57="",Monthly!D$5=""),"",SUMIF(Monthly!$AB$31:$AB$50,$A$57,Monthly!D$31:D$50))</f>
        <v/>
      </c>
      <c r="E58" s="35" t="str">
        <f aca="false">IF(OR($A$57="",Monthly!E$5=""),"",SUMIF(Monthly!$AB$31:$AB$50,$A$57,Monthly!E$31:E$50))</f>
        <v/>
      </c>
      <c r="F58" s="35" t="str">
        <f aca="false">IF(OR($A$57="",Monthly!F$5=""),"",SUMIF(Monthly!$AB$31:$AB$50,$A$57,Monthly!F$31:F$50))</f>
        <v/>
      </c>
      <c r="G58" s="35" t="str">
        <f aca="false">IF(OR($A$57="",Monthly!G$5=""),"",SUMIF(Monthly!$AB$31:$AB$50,$A$57,Monthly!G$31:G$50))</f>
        <v/>
      </c>
      <c r="H58" s="35" t="str">
        <f aca="false">IF(OR($A$57="",Monthly!H$5=""),"",SUMIF(Monthly!$AB$31:$AB$50,$A$57,Monthly!H$31:H$50))</f>
        <v/>
      </c>
      <c r="I58" s="35" t="str">
        <f aca="false">IF(OR($A$57="",Monthly!I$5=""),"",SUMIF(Monthly!$AB$31:$AB$50,$A$57,Monthly!I$31:I$50))</f>
        <v/>
      </c>
      <c r="J58" s="35" t="str">
        <f aca="false">IF(OR($A$57="",Monthly!J$5=""),"",SUMIF(Monthly!$AB$31:$AB$50,$A$57,Monthly!J$31:J$50))</f>
        <v/>
      </c>
      <c r="K58" s="35" t="str">
        <f aca="false">IF(OR($A$57="",Monthly!K$5=""),"",SUMIF(Monthly!$AB$31:$AB$50,$A$57,Monthly!K$31:K$50))</f>
        <v/>
      </c>
      <c r="L58" s="35" t="str">
        <f aca="false">IF(OR($A$57="",Monthly!L$5=""),"",SUMIF(Monthly!$AB$31:$AB$50,$A$57,Monthly!L$31:L$50))</f>
        <v/>
      </c>
      <c r="M58" s="35" t="str">
        <f aca="false">IF(OR($A$57="",Monthly!M$5=""),"",SUMIF(Monthly!$AB$31:$AB$50,$A$57,Monthly!M$31:M$50))</f>
        <v/>
      </c>
      <c r="N58" s="35" t="str">
        <f aca="false">IF(OR($A$57="",Monthly!N$5=""),"",SUMIF(Monthly!$AB$31:$AB$50,$A$57,Monthly!N$31:N$50))</f>
        <v/>
      </c>
      <c r="O58" s="35" t="str">
        <f aca="false">IF(OR($A$57="",Monthly!O$5=""),"",SUMIF(Monthly!$AB$31:$AB$50,$A$57,Monthly!O$31:O$50))</f>
        <v/>
      </c>
      <c r="P58" s="35" t="str">
        <f aca="false">IF(OR($A$57="",Monthly!P$5=""),"",SUMIF(Monthly!$AB$31:$AB$50,$A$57,Monthly!P$31:P$50))</f>
        <v/>
      </c>
      <c r="Q58" s="35" t="str">
        <f aca="false">IF(OR($A$57="",Monthly!Q$5=""),"",SUMIF(Monthly!$AB$31:$AB$50,$A$57,Monthly!Q$31:Q$50))</f>
        <v/>
      </c>
      <c r="R58" s="35" t="str">
        <f aca="false">IF(OR($A$57="",Monthly!R$5=""),"",SUMIF(Monthly!$AB$31:$AB$50,$A$57,Monthly!R$31:R$50))</f>
        <v/>
      </c>
      <c r="S58" s="35" t="str">
        <f aca="false">IF(OR($A$57="",Monthly!S$5=""),"",SUMIF(Monthly!$AB$31:$AB$50,$A$57,Monthly!S$31:S$50))</f>
        <v/>
      </c>
      <c r="T58" s="35" t="str">
        <f aca="false">IF(OR($A$57="",Monthly!T$5=""),"",SUMIF(Monthly!$AB$31:$AB$50,$A$57,Monthly!T$31:T$50))</f>
        <v/>
      </c>
      <c r="U58" s="35" t="str">
        <f aca="false">IF(OR($A$57="",Monthly!U$5=""),"",SUMIF(Monthly!$AB$31:$AB$50,$A$57,Monthly!U$31:U$50))</f>
        <v/>
      </c>
      <c r="V58" s="35" t="str">
        <f aca="false">IF(OR($A$57="",Monthly!V$5=""),"",SUMIF(Monthly!$AB$31:$AB$50,$A$57,Monthly!V$31:V$50))</f>
        <v/>
      </c>
      <c r="W58" s="35" t="str">
        <f aca="false">IF(OR($A$57="",Monthly!W$5=""),"",SUMIF(Monthly!$AB$31:$AB$50,$A$57,Monthly!W$31:W$50))</f>
        <v/>
      </c>
      <c r="X58" s="35" t="str">
        <f aca="false">IF(OR($A$57="",Monthly!X$5=""),"",SUMIF(Monthly!$AB$31:$AB$50,$A$57,Monthly!X$31:X$50))</f>
        <v/>
      </c>
      <c r="Y58" s="35" t="str">
        <f aca="false">IF(OR($A$57="",Monthly!Y$5=""),"",SUMIF(Monthly!$AB$31:$AB$50,$A$57,Monthly!Y$31:Y$50))</f>
        <v/>
      </c>
      <c r="Z58" s="35" t="str">
        <f aca="false">IF(OR($A$57="",Monthly!Z$5=""),"",SUMIF(Monthly!$AB$31:$AB$50,$A$57,Monthly!Z$31:Z$50))</f>
        <v/>
      </c>
      <c r="AA58" s="24" t="str">
        <f aca="false">IF($A$57="","",SUM(C58:Z58))</f>
        <v/>
      </c>
    </row>
    <row r="59" customFormat="false" ht="15" hidden="false" customHeight="false" outlineLevel="0" collapsed="false">
      <c r="B59" s="3" t="s">
        <v>151</v>
      </c>
      <c r="C59" s="7" t="str">
        <f aca="false">IF(OR($A$57="",Monthly!C$5=""),"",SUMIF(Monthly!$AB$31:$AB$50,$A$57,Monthly!C$53:C$72))</f>
        <v/>
      </c>
      <c r="D59" s="7" t="str">
        <f aca="false">IF(OR($A$57="",Monthly!D$5=""),"",SUMIF(Monthly!$AB$31:$AB$50,$A$57,Monthly!D$53:D$72))</f>
        <v/>
      </c>
      <c r="E59" s="7" t="str">
        <f aca="false">IF(OR($A$57="",Monthly!E$5=""),"",SUMIF(Monthly!$AB$31:$AB$50,$A$57,Monthly!E$53:E$72))</f>
        <v/>
      </c>
      <c r="F59" s="7" t="str">
        <f aca="false">IF(OR($A$57="",Monthly!F$5=""),"",SUMIF(Monthly!$AB$31:$AB$50,$A$57,Monthly!F$53:F$72))</f>
        <v/>
      </c>
      <c r="G59" s="7" t="str">
        <f aca="false">IF(OR($A$57="",Monthly!G$5=""),"",SUMIF(Monthly!$AB$31:$AB$50,$A$57,Monthly!G$53:G$72))</f>
        <v/>
      </c>
      <c r="H59" s="7" t="str">
        <f aca="false">IF(OR($A$57="",Monthly!H$5=""),"",SUMIF(Monthly!$AB$31:$AB$50,$A$57,Monthly!H$53:H$72))</f>
        <v/>
      </c>
      <c r="I59" s="7" t="str">
        <f aca="false">IF(OR($A$57="",Monthly!I$5=""),"",SUMIF(Monthly!$AB$31:$AB$50,$A$57,Monthly!I$53:I$72))</f>
        <v/>
      </c>
      <c r="J59" s="7" t="str">
        <f aca="false">IF(OR($A$57="",Monthly!J$5=""),"",SUMIF(Monthly!$AB$31:$AB$50,$A$57,Monthly!J$53:J$72))</f>
        <v/>
      </c>
      <c r="K59" s="7" t="str">
        <f aca="false">IF(OR($A$57="",Monthly!K$5=""),"",SUMIF(Monthly!$AB$31:$AB$50,$A$57,Monthly!K$53:K$72))</f>
        <v/>
      </c>
      <c r="L59" s="7" t="str">
        <f aca="false">IF(OR($A$57="",Monthly!L$5=""),"",SUMIF(Monthly!$AB$31:$AB$50,$A$57,Monthly!L$53:L$72))</f>
        <v/>
      </c>
      <c r="M59" s="7" t="str">
        <f aca="false">IF(OR($A$57="",Monthly!M$5=""),"",SUMIF(Monthly!$AB$31:$AB$50,$A$57,Monthly!M$53:M$72))</f>
        <v/>
      </c>
      <c r="N59" s="7" t="str">
        <f aca="false">IF(OR($A$57="",Monthly!N$5=""),"",SUMIF(Monthly!$AB$31:$AB$50,$A$57,Monthly!N$53:N$72))</f>
        <v/>
      </c>
      <c r="O59" s="7" t="str">
        <f aca="false">IF(OR($A$57="",Monthly!O$5=""),"",SUMIF(Monthly!$AB$31:$AB$50,$A$57,Monthly!O$53:O$72))</f>
        <v/>
      </c>
      <c r="P59" s="7" t="str">
        <f aca="false">IF(OR($A$57="",Monthly!P$5=""),"",SUMIF(Monthly!$AB$31:$AB$50,$A$57,Monthly!P$53:P$72))</f>
        <v/>
      </c>
      <c r="Q59" s="7" t="str">
        <f aca="false">IF(OR($A$57="",Monthly!Q$5=""),"",SUMIF(Monthly!$AB$31:$AB$50,$A$57,Monthly!Q$53:Q$72))</f>
        <v/>
      </c>
      <c r="R59" s="7" t="str">
        <f aca="false">IF(OR($A$57="",Monthly!R$5=""),"",SUMIF(Monthly!$AB$31:$AB$50,$A$57,Monthly!R$53:R$72))</f>
        <v/>
      </c>
      <c r="S59" s="7" t="str">
        <f aca="false">IF(OR($A$57="",Monthly!S$5=""),"",SUMIF(Monthly!$AB$31:$AB$50,$A$57,Monthly!S$53:S$72))</f>
        <v/>
      </c>
      <c r="T59" s="7" t="str">
        <f aca="false">IF(OR($A$57="",Monthly!T$5=""),"",SUMIF(Monthly!$AB$31:$AB$50,$A$57,Monthly!T$53:T$72))</f>
        <v/>
      </c>
      <c r="U59" s="7" t="str">
        <f aca="false">IF(OR($A$57="",Monthly!U$5=""),"",SUMIF(Monthly!$AB$31:$AB$50,$A$57,Monthly!U$53:U$72))</f>
        <v/>
      </c>
      <c r="V59" s="7" t="str">
        <f aca="false">IF(OR($A$57="",Monthly!V$5=""),"",SUMIF(Monthly!$AB$31:$AB$50,$A$57,Monthly!V$53:V$72))</f>
        <v/>
      </c>
      <c r="W59" s="7" t="str">
        <f aca="false">IF(OR($A$57="",Monthly!W$5=""),"",SUMIF(Monthly!$AB$31:$AB$50,$A$57,Monthly!W$53:W$72))</f>
        <v/>
      </c>
      <c r="X59" s="7" t="str">
        <f aca="false">IF(OR($A$57="",Monthly!X$5=""),"",SUMIF(Monthly!$AB$31:$AB$50,$A$57,Monthly!X$53:X$72))</f>
        <v/>
      </c>
      <c r="Y59" s="7" t="str">
        <f aca="false">IF(OR($A$57="",Monthly!Y$5=""),"",SUMIF(Monthly!$AB$31:$AB$50,$A$57,Monthly!Y$53:Y$72))</f>
        <v/>
      </c>
      <c r="Z59" s="7" t="str">
        <f aca="false">IF(OR($A$57="",Monthly!Z$5=""),"",SUMIF(Monthly!$AB$31:$AB$50,$A$57,Monthly!Z$53:Z$72))</f>
        <v/>
      </c>
      <c r="AA59" s="25" t="str">
        <f aca="false">IF($A$57="","",SUM(C59:Z59))</f>
        <v/>
      </c>
    </row>
    <row r="60" customFormat="false" ht="15" hidden="false" customHeight="false" outlineLevel="0" collapsed="false">
      <c r="B60" s="36" t="s">
        <v>160</v>
      </c>
      <c r="C60" s="7" t="str">
        <f aca="false">IF(OR($A$57="",Monthly!C$5=""),"",SUMIF(Monthly!$AB$31:$AB$50,$A$57,Monthly!C$75:C$94))</f>
        <v/>
      </c>
      <c r="D60" s="7" t="str">
        <f aca="false">IF(OR($A$57="",Monthly!D$5=""),"",SUMIF(Monthly!$AB$31:$AB$50,$A$57,Monthly!D$75:D$94))</f>
        <v/>
      </c>
      <c r="E60" s="7" t="str">
        <f aca="false">IF(OR($A$57="",Monthly!E$5=""),"",SUMIF(Monthly!$AB$31:$AB$50,$A$57,Monthly!E$75:E$94))</f>
        <v/>
      </c>
      <c r="F60" s="7" t="str">
        <f aca="false">IF(OR($A$57="",Monthly!F$5=""),"",SUMIF(Monthly!$AB$31:$AB$50,$A$57,Monthly!F$75:F$94))</f>
        <v/>
      </c>
      <c r="G60" s="7" t="str">
        <f aca="false">IF(OR($A$57="",Monthly!G$5=""),"",SUMIF(Monthly!$AB$31:$AB$50,$A$57,Monthly!G$75:G$94))</f>
        <v/>
      </c>
      <c r="H60" s="7" t="str">
        <f aca="false">IF(OR($A$57="",Monthly!H$5=""),"",SUMIF(Monthly!$AB$31:$AB$50,$A$57,Monthly!H$75:H$94))</f>
        <v/>
      </c>
      <c r="I60" s="7" t="str">
        <f aca="false">IF(OR($A$57="",Monthly!I$5=""),"",SUMIF(Monthly!$AB$31:$AB$50,$A$57,Monthly!I$75:I$94))</f>
        <v/>
      </c>
      <c r="J60" s="7" t="str">
        <f aca="false">IF(OR($A$57="",Monthly!J$5=""),"",SUMIF(Monthly!$AB$31:$AB$50,$A$57,Monthly!J$75:J$94))</f>
        <v/>
      </c>
      <c r="K60" s="7" t="str">
        <f aca="false">IF(OR($A$57="",Monthly!K$5=""),"",SUMIF(Monthly!$AB$31:$AB$50,$A$57,Monthly!K$75:K$94))</f>
        <v/>
      </c>
      <c r="L60" s="7" t="str">
        <f aca="false">IF(OR($A$57="",Monthly!L$5=""),"",SUMIF(Monthly!$AB$31:$AB$50,$A$57,Monthly!L$75:L$94))</f>
        <v/>
      </c>
      <c r="M60" s="7" t="str">
        <f aca="false">IF(OR($A$57="",Monthly!M$5=""),"",SUMIF(Monthly!$AB$31:$AB$50,$A$57,Monthly!M$75:M$94))</f>
        <v/>
      </c>
      <c r="N60" s="7" t="str">
        <f aca="false">IF(OR($A$57="",Monthly!N$5=""),"",SUMIF(Monthly!$AB$31:$AB$50,$A$57,Monthly!N$75:N$94))</f>
        <v/>
      </c>
      <c r="O60" s="7" t="str">
        <f aca="false">IF(OR($A$57="",Monthly!O$5=""),"",SUMIF(Monthly!$AB$31:$AB$50,$A$57,Monthly!O$75:O$94))</f>
        <v/>
      </c>
      <c r="P60" s="7" t="str">
        <f aca="false">IF(OR($A$57="",Monthly!P$5=""),"",SUMIF(Monthly!$AB$31:$AB$50,$A$57,Monthly!P$75:P$94))</f>
        <v/>
      </c>
      <c r="Q60" s="7" t="str">
        <f aca="false">IF(OR($A$57="",Monthly!Q$5=""),"",SUMIF(Monthly!$AB$31:$AB$50,$A$57,Monthly!Q$75:Q$94))</f>
        <v/>
      </c>
      <c r="R60" s="7" t="str">
        <f aca="false">IF(OR($A$57="",Monthly!R$5=""),"",SUMIF(Monthly!$AB$31:$AB$50,$A$57,Monthly!R$75:R$94))</f>
        <v/>
      </c>
      <c r="S60" s="7" t="str">
        <f aca="false">IF(OR($A$57="",Monthly!S$5=""),"",SUMIF(Monthly!$AB$31:$AB$50,$A$57,Monthly!S$75:S$94))</f>
        <v/>
      </c>
      <c r="T60" s="7" t="str">
        <f aca="false">IF(OR($A$57="",Monthly!T$5=""),"",SUMIF(Monthly!$AB$31:$AB$50,$A$57,Monthly!T$75:T$94))</f>
        <v/>
      </c>
      <c r="U60" s="7" t="str">
        <f aca="false">IF(OR($A$57="",Monthly!U$5=""),"",SUMIF(Monthly!$AB$31:$AB$50,$A$57,Monthly!U$75:U$94))</f>
        <v/>
      </c>
      <c r="V60" s="7" t="str">
        <f aca="false">IF(OR($A$57="",Monthly!V$5=""),"",SUMIF(Monthly!$AB$31:$AB$50,$A$57,Monthly!V$75:V$94))</f>
        <v/>
      </c>
      <c r="W60" s="7" t="str">
        <f aca="false">IF(OR($A$57="",Monthly!W$5=""),"",SUMIF(Monthly!$AB$31:$AB$50,$A$57,Monthly!W$75:W$94))</f>
        <v/>
      </c>
      <c r="X60" s="7" t="str">
        <f aca="false">IF(OR($A$57="",Monthly!X$5=""),"",SUMIF(Monthly!$AB$31:$AB$50,$A$57,Monthly!X$75:X$94))</f>
        <v/>
      </c>
      <c r="Y60" s="7" t="str">
        <f aca="false">IF(OR($A$57="",Monthly!Y$5=""),"",SUMIF(Monthly!$AB$31:$AB$50,$A$57,Monthly!Y$75:Y$94))</f>
        <v/>
      </c>
      <c r="Z60" s="7" t="str">
        <f aca="false">IF(OR($A$57="",Monthly!Z$5=""),"",SUMIF(Monthly!$AB$31:$AB$50,$A$57,Monthly!Z$75:Z$94))</f>
        <v/>
      </c>
      <c r="AA60" s="25" t="str">
        <f aca="false">IF($A$57="","",SUM(C60:Z60))</f>
        <v/>
      </c>
    </row>
    <row r="61" customFormat="false" ht="15" hidden="false" customHeight="false" outlineLevel="0" collapsed="false">
      <c r="B61" s="3" t="s">
        <v>25</v>
      </c>
      <c r="C61" s="7" t="str">
        <f aca="false">IF(C59="","",C59-C60)</f>
        <v/>
      </c>
      <c r="D61" s="7" t="str">
        <f aca="false">IF(D59="","",D59-D60)</f>
        <v/>
      </c>
      <c r="E61" s="7" t="str">
        <f aca="false">IF(E59="","",E59-E60)</f>
        <v/>
      </c>
      <c r="F61" s="7" t="str">
        <f aca="false">IF(F59="","",F59-F60)</f>
        <v/>
      </c>
      <c r="G61" s="7" t="str">
        <f aca="false">IF(G59="","",G59-G60)</f>
        <v/>
      </c>
      <c r="H61" s="7" t="str">
        <f aca="false">IF(H59="","",H59-H60)</f>
        <v/>
      </c>
      <c r="I61" s="7" t="str">
        <f aca="false">IF(I59="","",I59-I60)</f>
        <v/>
      </c>
      <c r="J61" s="7" t="str">
        <f aca="false">IF(J59="","",J59-J60)</f>
        <v/>
      </c>
      <c r="K61" s="7" t="str">
        <f aca="false">IF(K59="","",K59-K60)</f>
        <v/>
      </c>
      <c r="L61" s="7" t="str">
        <f aca="false">IF(L59="","",L59-L60)</f>
        <v/>
      </c>
      <c r="M61" s="7" t="str">
        <f aca="false">IF(M59="","",M59-M60)</f>
        <v/>
      </c>
      <c r="N61" s="7" t="str">
        <f aca="false">IF(N59="","",N59-N60)</f>
        <v/>
      </c>
      <c r="O61" s="7" t="str">
        <f aca="false">IF(O59="","",O59-O60)</f>
        <v/>
      </c>
      <c r="P61" s="7" t="str">
        <f aca="false">IF(P59="","",P59-P60)</f>
        <v/>
      </c>
      <c r="Q61" s="7" t="str">
        <f aca="false">IF(Q59="","",Q59-Q60)</f>
        <v/>
      </c>
      <c r="R61" s="7" t="str">
        <f aca="false">IF(R59="","",R59-R60)</f>
        <v/>
      </c>
      <c r="S61" s="7" t="str">
        <f aca="false">IF(S59="","",S59-S60)</f>
        <v/>
      </c>
      <c r="T61" s="7" t="str">
        <f aca="false">IF(T59="","",T59-T60)</f>
        <v/>
      </c>
      <c r="U61" s="7" t="str">
        <f aca="false">IF(U59="","",U59-U60)</f>
        <v/>
      </c>
      <c r="V61" s="7" t="str">
        <f aca="false">IF(V59="","",V59-V60)</f>
        <v/>
      </c>
      <c r="W61" s="7" t="str">
        <f aca="false">IF(W59="","",W59-W60)</f>
        <v/>
      </c>
      <c r="X61" s="7" t="str">
        <f aca="false">IF(X59="","",X59-X60)</f>
        <v/>
      </c>
      <c r="Y61" s="7" t="str">
        <f aca="false">IF(Y59="","",Y59-Y60)</f>
        <v/>
      </c>
      <c r="Z61" s="7" t="str">
        <f aca="false">IF(Z59="","",Z59-Z60)</f>
        <v/>
      </c>
      <c r="AA61" s="25" t="str">
        <f aca="false">IF($A$57="","",SUM(C61:Z61))</f>
        <v/>
      </c>
    </row>
    <row r="62" customFormat="false" ht="15" hidden="false" customHeight="false" outlineLevel="0" collapsed="false">
      <c r="B62" s="3" t="s">
        <v>27</v>
      </c>
      <c r="C62" s="12" t="str">
        <f aca="false">IF(OR(C59="",C59=0),"",C61/C59)</f>
        <v/>
      </c>
      <c r="D62" s="12" t="str">
        <f aca="false">IF(OR(D59="",D59=0),"",D61/D59)</f>
        <v/>
      </c>
      <c r="E62" s="12" t="str">
        <f aca="false">IF(OR(E59="",E59=0),"",E61/E59)</f>
        <v/>
      </c>
      <c r="F62" s="12" t="str">
        <f aca="false">IF(OR(F59="",F59=0),"",F61/F59)</f>
        <v/>
      </c>
      <c r="G62" s="12" t="str">
        <f aca="false">IF(OR(G59="",G59=0),"",G61/G59)</f>
        <v/>
      </c>
      <c r="H62" s="12" t="str">
        <f aca="false">IF(OR(H59="",H59=0),"",H61/H59)</f>
        <v/>
      </c>
      <c r="I62" s="12" t="str">
        <f aca="false">IF(OR(I59="",I59=0),"",I61/I59)</f>
        <v/>
      </c>
      <c r="J62" s="12" t="str">
        <f aca="false">IF(OR(J59="",J59=0),"",J61/J59)</f>
        <v/>
      </c>
      <c r="K62" s="12" t="str">
        <f aca="false">IF(OR(K59="",K59=0),"",K61/K59)</f>
        <v/>
      </c>
      <c r="L62" s="12" t="str">
        <f aca="false">IF(OR(L59="",L59=0),"",L61/L59)</f>
        <v/>
      </c>
      <c r="M62" s="12" t="str">
        <f aca="false">IF(OR(M59="",M59=0),"",M61/M59)</f>
        <v/>
      </c>
      <c r="N62" s="12" t="str">
        <f aca="false">IF(OR(N59="",N59=0),"",N61/N59)</f>
        <v/>
      </c>
      <c r="O62" s="12" t="str">
        <f aca="false">IF(OR(O59="",O59=0),"",O61/O59)</f>
        <v/>
      </c>
      <c r="P62" s="12" t="str">
        <f aca="false">IF(OR(P59="",P59=0),"",P61/P59)</f>
        <v/>
      </c>
      <c r="Q62" s="12" t="str">
        <f aca="false">IF(OR(Q59="",Q59=0),"",Q61/Q59)</f>
        <v/>
      </c>
      <c r="R62" s="12" t="str">
        <f aca="false">IF(OR(R59="",R59=0),"",R61/R59)</f>
        <v/>
      </c>
      <c r="S62" s="12" t="str">
        <f aca="false">IF(OR(S59="",S59=0),"",S61/S59)</f>
        <v/>
      </c>
      <c r="T62" s="12" t="str">
        <f aca="false">IF(OR(T59="",T59=0),"",T61/T59)</f>
        <v/>
      </c>
      <c r="U62" s="12" t="str">
        <f aca="false">IF(OR(U59="",U59=0),"",U61/U59)</f>
        <v/>
      </c>
      <c r="V62" s="12" t="str">
        <f aca="false">IF(OR(V59="",V59=0),"",V61/V59)</f>
        <v/>
      </c>
      <c r="W62" s="12" t="str">
        <f aca="false">IF(OR(W59="",W59=0),"",W61/W59)</f>
        <v/>
      </c>
      <c r="X62" s="12" t="str">
        <f aca="false">IF(OR(X59="",X59=0),"",X61/X59)</f>
        <v/>
      </c>
      <c r="Y62" s="12" t="str">
        <f aca="false">IF(OR(Y59="",Y59=0),"",Y61/Y59)</f>
        <v/>
      </c>
      <c r="Z62" s="12" t="str">
        <f aca="false">IF(OR(Z59="",Z59=0),"",Z61/Z59)</f>
        <v/>
      </c>
      <c r="AA62" s="26" t="str">
        <f aca="false">IF(OR($A$57="",AA59="",AA59=0),"",AA61/AA59)</f>
        <v/>
      </c>
    </row>
    <row r="64" customFormat="false" ht="15" hidden="false" customHeight="false" outlineLevel="0" collapsed="false">
      <c r="A64" s="40" t="str">
        <f aca="false">IF('Cost Margin'!$V$39="","",'Cost Margin'!$V$39)</f>
        <v/>
      </c>
      <c r="B64" s="36" t="s">
        <v>62</v>
      </c>
      <c r="C64" s="22" t="str">
        <f aca="false">IF(OR($A$64="",Monthly!C$5=""),"",SUMPRODUCT((Monthly!$AB$31:$AB$50=$A$64)*(Monthly!C$31:C$50&gt;0)))</f>
        <v/>
      </c>
      <c r="D64" s="22" t="str">
        <f aca="false">IF(OR($A$64="",Monthly!D$5=""),"",SUMPRODUCT((Monthly!$AB$31:$AB$50=$A$64)*(Monthly!D$31:D$50&gt;0)))</f>
        <v/>
      </c>
      <c r="E64" s="22" t="str">
        <f aca="false">IF(OR($A$64="",Monthly!E$5=""),"",SUMPRODUCT((Monthly!$AB$31:$AB$50=$A$64)*(Monthly!E$31:E$50&gt;0)))</f>
        <v/>
      </c>
      <c r="F64" s="22" t="str">
        <f aca="false">IF(OR($A$64="",Monthly!F$5=""),"",SUMPRODUCT((Monthly!$AB$31:$AB$50=$A$64)*(Monthly!F$31:F$50&gt;0)))</f>
        <v/>
      </c>
      <c r="G64" s="22" t="str">
        <f aca="false">IF(OR($A$64="",Monthly!G$5=""),"",SUMPRODUCT((Monthly!$AB$31:$AB$50=$A$64)*(Monthly!G$31:G$50&gt;0)))</f>
        <v/>
      </c>
      <c r="H64" s="22" t="str">
        <f aca="false">IF(OR($A$64="",Monthly!H$5=""),"",SUMPRODUCT((Monthly!$AB$31:$AB$50=$A$64)*(Monthly!H$31:H$50&gt;0)))</f>
        <v/>
      </c>
      <c r="I64" s="22" t="str">
        <f aca="false">IF(OR($A$64="",Monthly!I$5=""),"",SUMPRODUCT((Monthly!$AB$31:$AB$50=$A$64)*(Monthly!I$31:I$50&gt;0)))</f>
        <v/>
      </c>
      <c r="J64" s="22" t="str">
        <f aca="false">IF(OR($A$64="",Monthly!J$5=""),"",SUMPRODUCT((Monthly!$AB$31:$AB$50=$A$64)*(Monthly!J$31:J$50&gt;0)))</f>
        <v/>
      </c>
      <c r="K64" s="22" t="str">
        <f aca="false">IF(OR($A$64="",Monthly!K$5=""),"",SUMPRODUCT((Monthly!$AB$31:$AB$50=$A$64)*(Monthly!K$31:K$50&gt;0)))</f>
        <v/>
      </c>
      <c r="L64" s="22" t="str">
        <f aca="false">IF(OR($A$64="",Monthly!L$5=""),"",SUMPRODUCT((Monthly!$AB$31:$AB$50=$A$64)*(Monthly!L$31:L$50&gt;0)))</f>
        <v/>
      </c>
      <c r="M64" s="22" t="str">
        <f aca="false">IF(OR($A$64="",Monthly!M$5=""),"",SUMPRODUCT((Monthly!$AB$31:$AB$50=$A$64)*(Monthly!M$31:M$50&gt;0)))</f>
        <v/>
      </c>
      <c r="N64" s="22" t="str">
        <f aca="false">IF(OR($A$64="",Monthly!N$5=""),"",SUMPRODUCT((Monthly!$AB$31:$AB$50=$A$64)*(Monthly!N$31:N$50&gt;0)))</f>
        <v/>
      </c>
      <c r="O64" s="22" t="str">
        <f aca="false">IF(OR($A$64="",Monthly!O$5=""),"",SUMPRODUCT((Monthly!$AB$31:$AB$50=$A$64)*(Monthly!O$31:O$50&gt;0)))</f>
        <v/>
      </c>
      <c r="P64" s="22" t="str">
        <f aca="false">IF(OR($A$64="",Monthly!P$5=""),"",SUMPRODUCT((Monthly!$AB$31:$AB$50=$A$64)*(Monthly!P$31:P$50&gt;0)))</f>
        <v/>
      </c>
      <c r="Q64" s="22" t="str">
        <f aca="false">IF(OR($A$64="",Monthly!Q$5=""),"",SUMPRODUCT((Monthly!$AB$31:$AB$50=$A$64)*(Monthly!Q$31:Q$50&gt;0)))</f>
        <v/>
      </c>
      <c r="R64" s="22" t="str">
        <f aca="false">IF(OR($A$64="",Monthly!R$5=""),"",SUMPRODUCT((Monthly!$AB$31:$AB$50=$A$64)*(Monthly!R$31:R$50&gt;0)))</f>
        <v/>
      </c>
      <c r="S64" s="22" t="str">
        <f aca="false">IF(OR($A$64="",Monthly!S$5=""),"",SUMPRODUCT((Monthly!$AB$31:$AB$50=$A$64)*(Monthly!S$31:S$50&gt;0)))</f>
        <v/>
      </c>
      <c r="T64" s="22" t="str">
        <f aca="false">IF(OR($A$64="",Monthly!T$5=""),"",SUMPRODUCT((Monthly!$AB$31:$AB$50=$A$64)*(Monthly!T$31:T$50&gt;0)))</f>
        <v/>
      </c>
      <c r="U64" s="22" t="str">
        <f aca="false">IF(OR($A$64="",Monthly!U$5=""),"",SUMPRODUCT((Monthly!$AB$31:$AB$50=$A$64)*(Monthly!U$31:U$50&gt;0)))</f>
        <v/>
      </c>
      <c r="V64" s="22" t="str">
        <f aca="false">IF(OR($A$64="",Monthly!V$5=""),"",SUMPRODUCT((Monthly!$AB$31:$AB$50=$A$64)*(Monthly!V$31:V$50&gt;0)))</f>
        <v/>
      </c>
      <c r="W64" s="22" t="str">
        <f aca="false">IF(OR($A$64="",Monthly!W$5=""),"",SUMPRODUCT((Monthly!$AB$31:$AB$50=$A$64)*(Monthly!W$31:W$50&gt;0)))</f>
        <v/>
      </c>
      <c r="X64" s="22" t="str">
        <f aca="false">IF(OR($A$64="",Monthly!X$5=""),"",SUMPRODUCT((Monthly!$AB$31:$AB$50=$A$64)*(Monthly!X$31:X$50&gt;0)))</f>
        <v/>
      </c>
      <c r="Y64" s="22" t="str">
        <f aca="false">IF(OR($A$64="",Monthly!Y$5=""),"",SUMPRODUCT((Monthly!$AB$31:$AB$50=$A$64)*(Monthly!Y$31:Y$50&gt;0)))</f>
        <v/>
      </c>
      <c r="Z64" s="22" t="str">
        <f aca="false">IF(OR($A$64="",Monthly!Z$5=""),"",SUMPRODUCT((Monthly!$AB$31:$AB$50=$A$64)*(Monthly!Z$31:Z$50&gt;0)))</f>
        <v/>
      </c>
      <c r="AA64" s="37" t="str">
        <f aca="false">IF($A$64="","",MAX(C64:Z64))</f>
        <v/>
      </c>
    </row>
    <row r="65" customFormat="false" ht="15" hidden="false" customHeight="false" outlineLevel="0" collapsed="false">
      <c r="B65" s="36" t="s">
        <v>149</v>
      </c>
      <c r="C65" s="35" t="str">
        <f aca="false">IF(OR($A$64="",Monthly!C$5=""),"",SUMIF(Monthly!$AB$31:$AB$50,$A$64,Monthly!C$31:C$50))</f>
        <v/>
      </c>
      <c r="D65" s="35" t="str">
        <f aca="false">IF(OR($A$64="",Monthly!D$5=""),"",SUMIF(Monthly!$AB$31:$AB$50,$A$64,Monthly!D$31:D$50))</f>
        <v/>
      </c>
      <c r="E65" s="35" t="str">
        <f aca="false">IF(OR($A$64="",Monthly!E$5=""),"",SUMIF(Monthly!$AB$31:$AB$50,$A$64,Monthly!E$31:E$50))</f>
        <v/>
      </c>
      <c r="F65" s="35" t="str">
        <f aca="false">IF(OR($A$64="",Monthly!F$5=""),"",SUMIF(Monthly!$AB$31:$AB$50,$A$64,Monthly!F$31:F$50))</f>
        <v/>
      </c>
      <c r="G65" s="35" t="str">
        <f aca="false">IF(OR($A$64="",Monthly!G$5=""),"",SUMIF(Monthly!$AB$31:$AB$50,$A$64,Monthly!G$31:G$50))</f>
        <v/>
      </c>
      <c r="H65" s="35" t="str">
        <f aca="false">IF(OR($A$64="",Monthly!H$5=""),"",SUMIF(Monthly!$AB$31:$AB$50,$A$64,Monthly!H$31:H$50))</f>
        <v/>
      </c>
      <c r="I65" s="35" t="str">
        <f aca="false">IF(OR($A$64="",Monthly!I$5=""),"",SUMIF(Monthly!$AB$31:$AB$50,$A$64,Monthly!I$31:I$50))</f>
        <v/>
      </c>
      <c r="J65" s="35" t="str">
        <f aca="false">IF(OR($A$64="",Monthly!J$5=""),"",SUMIF(Monthly!$AB$31:$AB$50,$A$64,Monthly!J$31:J$50))</f>
        <v/>
      </c>
      <c r="K65" s="35" t="str">
        <f aca="false">IF(OR($A$64="",Monthly!K$5=""),"",SUMIF(Monthly!$AB$31:$AB$50,$A$64,Monthly!K$31:K$50))</f>
        <v/>
      </c>
      <c r="L65" s="35" t="str">
        <f aca="false">IF(OR($A$64="",Monthly!L$5=""),"",SUMIF(Monthly!$AB$31:$AB$50,$A$64,Monthly!L$31:L$50))</f>
        <v/>
      </c>
      <c r="M65" s="35" t="str">
        <f aca="false">IF(OR($A$64="",Monthly!M$5=""),"",SUMIF(Monthly!$AB$31:$AB$50,$A$64,Monthly!M$31:M$50))</f>
        <v/>
      </c>
      <c r="N65" s="35" t="str">
        <f aca="false">IF(OR($A$64="",Monthly!N$5=""),"",SUMIF(Monthly!$AB$31:$AB$50,$A$64,Monthly!N$31:N$50))</f>
        <v/>
      </c>
      <c r="O65" s="35" t="str">
        <f aca="false">IF(OR($A$64="",Monthly!O$5=""),"",SUMIF(Monthly!$AB$31:$AB$50,$A$64,Monthly!O$31:O$50))</f>
        <v/>
      </c>
      <c r="P65" s="35" t="str">
        <f aca="false">IF(OR($A$64="",Monthly!P$5=""),"",SUMIF(Monthly!$AB$31:$AB$50,$A$64,Monthly!P$31:P$50))</f>
        <v/>
      </c>
      <c r="Q65" s="35" t="str">
        <f aca="false">IF(OR($A$64="",Monthly!Q$5=""),"",SUMIF(Monthly!$AB$31:$AB$50,$A$64,Monthly!Q$31:Q$50))</f>
        <v/>
      </c>
      <c r="R65" s="35" t="str">
        <f aca="false">IF(OR($A$64="",Monthly!R$5=""),"",SUMIF(Monthly!$AB$31:$AB$50,$A$64,Monthly!R$31:R$50))</f>
        <v/>
      </c>
      <c r="S65" s="35" t="str">
        <f aca="false">IF(OR($A$64="",Monthly!S$5=""),"",SUMIF(Monthly!$AB$31:$AB$50,$A$64,Monthly!S$31:S$50))</f>
        <v/>
      </c>
      <c r="T65" s="35" t="str">
        <f aca="false">IF(OR($A$64="",Monthly!T$5=""),"",SUMIF(Monthly!$AB$31:$AB$50,$A$64,Monthly!T$31:T$50))</f>
        <v/>
      </c>
      <c r="U65" s="35" t="str">
        <f aca="false">IF(OR($A$64="",Monthly!U$5=""),"",SUMIF(Monthly!$AB$31:$AB$50,$A$64,Monthly!U$31:U$50))</f>
        <v/>
      </c>
      <c r="V65" s="35" t="str">
        <f aca="false">IF(OR($A$64="",Monthly!V$5=""),"",SUMIF(Monthly!$AB$31:$AB$50,$A$64,Monthly!V$31:V$50))</f>
        <v/>
      </c>
      <c r="W65" s="35" t="str">
        <f aca="false">IF(OR($A$64="",Monthly!W$5=""),"",SUMIF(Monthly!$AB$31:$AB$50,$A$64,Monthly!W$31:W$50))</f>
        <v/>
      </c>
      <c r="X65" s="35" t="str">
        <f aca="false">IF(OR($A$64="",Monthly!X$5=""),"",SUMIF(Monthly!$AB$31:$AB$50,$A$64,Monthly!X$31:X$50))</f>
        <v/>
      </c>
      <c r="Y65" s="35" t="str">
        <f aca="false">IF(OR($A$64="",Monthly!Y$5=""),"",SUMIF(Monthly!$AB$31:$AB$50,$A$64,Monthly!Y$31:Y$50))</f>
        <v/>
      </c>
      <c r="Z65" s="35" t="str">
        <f aca="false">IF(OR($A$64="",Monthly!Z$5=""),"",SUMIF(Monthly!$AB$31:$AB$50,$A$64,Monthly!Z$31:Z$50))</f>
        <v/>
      </c>
      <c r="AA65" s="24" t="str">
        <f aca="false">IF($A$64="","",SUM(C65:Z65))</f>
        <v/>
      </c>
    </row>
    <row r="66" customFormat="false" ht="15" hidden="false" customHeight="false" outlineLevel="0" collapsed="false">
      <c r="B66" s="3" t="s">
        <v>151</v>
      </c>
      <c r="C66" s="7" t="str">
        <f aca="false">IF(OR($A$64="",Monthly!C$5=""),"",SUMIF(Monthly!$AB$31:$AB$50,$A$64,Monthly!C$53:C$72))</f>
        <v/>
      </c>
      <c r="D66" s="7" t="str">
        <f aca="false">IF(OR($A$64="",Monthly!D$5=""),"",SUMIF(Monthly!$AB$31:$AB$50,$A$64,Monthly!D$53:D$72))</f>
        <v/>
      </c>
      <c r="E66" s="7" t="str">
        <f aca="false">IF(OR($A$64="",Monthly!E$5=""),"",SUMIF(Monthly!$AB$31:$AB$50,$A$64,Monthly!E$53:E$72))</f>
        <v/>
      </c>
      <c r="F66" s="7" t="str">
        <f aca="false">IF(OR($A$64="",Monthly!F$5=""),"",SUMIF(Monthly!$AB$31:$AB$50,$A$64,Monthly!F$53:F$72))</f>
        <v/>
      </c>
      <c r="G66" s="7" t="str">
        <f aca="false">IF(OR($A$64="",Monthly!G$5=""),"",SUMIF(Monthly!$AB$31:$AB$50,$A$64,Monthly!G$53:G$72))</f>
        <v/>
      </c>
      <c r="H66" s="7" t="str">
        <f aca="false">IF(OR($A$64="",Monthly!H$5=""),"",SUMIF(Monthly!$AB$31:$AB$50,$A$64,Monthly!H$53:H$72))</f>
        <v/>
      </c>
      <c r="I66" s="7" t="str">
        <f aca="false">IF(OR($A$64="",Monthly!I$5=""),"",SUMIF(Monthly!$AB$31:$AB$50,$A$64,Monthly!I$53:I$72))</f>
        <v/>
      </c>
      <c r="J66" s="7" t="str">
        <f aca="false">IF(OR($A$64="",Monthly!J$5=""),"",SUMIF(Monthly!$AB$31:$AB$50,$A$64,Monthly!J$53:J$72))</f>
        <v/>
      </c>
      <c r="K66" s="7" t="str">
        <f aca="false">IF(OR($A$64="",Monthly!K$5=""),"",SUMIF(Monthly!$AB$31:$AB$50,$A$64,Monthly!K$53:K$72))</f>
        <v/>
      </c>
      <c r="L66" s="7" t="str">
        <f aca="false">IF(OR($A$64="",Monthly!L$5=""),"",SUMIF(Monthly!$AB$31:$AB$50,$A$64,Monthly!L$53:L$72))</f>
        <v/>
      </c>
      <c r="M66" s="7" t="str">
        <f aca="false">IF(OR($A$64="",Monthly!M$5=""),"",SUMIF(Monthly!$AB$31:$AB$50,$A$64,Monthly!M$53:M$72))</f>
        <v/>
      </c>
      <c r="N66" s="7" t="str">
        <f aca="false">IF(OR($A$64="",Monthly!N$5=""),"",SUMIF(Monthly!$AB$31:$AB$50,$A$64,Monthly!N$53:N$72))</f>
        <v/>
      </c>
      <c r="O66" s="7" t="str">
        <f aca="false">IF(OR($A$64="",Monthly!O$5=""),"",SUMIF(Monthly!$AB$31:$AB$50,$A$64,Monthly!O$53:O$72))</f>
        <v/>
      </c>
      <c r="P66" s="7" t="str">
        <f aca="false">IF(OR($A$64="",Monthly!P$5=""),"",SUMIF(Monthly!$AB$31:$AB$50,$A$64,Monthly!P$53:P$72))</f>
        <v/>
      </c>
      <c r="Q66" s="7" t="str">
        <f aca="false">IF(OR($A$64="",Monthly!Q$5=""),"",SUMIF(Monthly!$AB$31:$AB$50,$A$64,Monthly!Q$53:Q$72))</f>
        <v/>
      </c>
      <c r="R66" s="7" t="str">
        <f aca="false">IF(OR($A$64="",Monthly!R$5=""),"",SUMIF(Monthly!$AB$31:$AB$50,$A$64,Monthly!R$53:R$72))</f>
        <v/>
      </c>
      <c r="S66" s="7" t="str">
        <f aca="false">IF(OR($A$64="",Monthly!S$5=""),"",SUMIF(Monthly!$AB$31:$AB$50,$A$64,Monthly!S$53:S$72))</f>
        <v/>
      </c>
      <c r="T66" s="7" t="str">
        <f aca="false">IF(OR($A$64="",Monthly!T$5=""),"",SUMIF(Monthly!$AB$31:$AB$50,$A$64,Monthly!T$53:T$72))</f>
        <v/>
      </c>
      <c r="U66" s="7" t="str">
        <f aca="false">IF(OR($A$64="",Monthly!U$5=""),"",SUMIF(Monthly!$AB$31:$AB$50,$A$64,Monthly!U$53:U$72))</f>
        <v/>
      </c>
      <c r="V66" s="7" t="str">
        <f aca="false">IF(OR($A$64="",Monthly!V$5=""),"",SUMIF(Monthly!$AB$31:$AB$50,$A$64,Monthly!V$53:V$72))</f>
        <v/>
      </c>
      <c r="W66" s="7" t="str">
        <f aca="false">IF(OR($A$64="",Monthly!W$5=""),"",SUMIF(Monthly!$AB$31:$AB$50,$A$64,Monthly!W$53:W$72))</f>
        <v/>
      </c>
      <c r="X66" s="7" t="str">
        <f aca="false">IF(OR($A$64="",Monthly!X$5=""),"",SUMIF(Monthly!$AB$31:$AB$50,$A$64,Monthly!X$53:X$72))</f>
        <v/>
      </c>
      <c r="Y66" s="7" t="str">
        <f aca="false">IF(OR($A$64="",Monthly!Y$5=""),"",SUMIF(Monthly!$AB$31:$AB$50,$A$64,Monthly!Y$53:Y$72))</f>
        <v/>
      </c>
      <c r="Z66" s="7" t="str">
        <f aca="false">IF(OR($A$64="",Monthly!Z$5=""),"",SUMIF(Monthly!$AB$31:$AB$50,$A$64,Monthly!Z$53:Z$72))</f>
        <v/>
      </c>
      <c r="AA66" s="25" t="str">
        <f aca="false">IF($A$64="","",SUM(C66:Z66))</f>
        <v/>
      </c>
    </row>
    <row r="67" customFormat="false" ht="15" hidden="false" customHeight="false" outlineLevel="0" collapsed="false">
      <c r="B67" s="36" t="s">
        <v>160</v>
      </c>
      <c r="C67" s="7" t="str">
        <f aca="false">IF(OR($A$64="",Monthly!C$5=""),"",SUMIF(Monthly!$AB$31:$AB$50,$A$64,Monthly!C$75:C$94))</f>
        <v/>
      </c>
      <c r="D67" s="7" t="str">
        <f aca="false">IF(OR($A$64="",Monthly!D$5=""),"",SUMIF(Monthly!$AB$31:$AB$50,$A$64,Monthly!D$75:D$94))</f>
        <v/>
      </c>
      <c r="E67" s="7" t="str">
        <f aca="false">IF(OR($A$64="",Monthly!E$5=""),"",SUMIF(Monthly!$AB$31:$AB$50,$A$64,Monthly!E$75:E$94))</f>
        <v/>
      </c>
      <c r="F67" s="7" t="str">
        <f aca="false">IF(OR($A$64="",Monthly!F$5=""),"",SUMIF(Monthly!$AB$31:$AB$50,$A$64,Monthly!F$75:F$94))</f>
        <v/>
      </c>
      <c r="G67" s="7" t="str">
        <f aca="false">IF(OR($A$64="",Monthly!G$5=""),"",SUMIF(Monthly!$AB$31:$AB$50,$A$64,Monthly!G$75:G$94))</f>
        <v/>
      </c>
      <c r="H67" s="7" t="str">
        <f aca="false">IF(OR($A$64="",Monthly!H$5=""),"",SUMIF(Monthly!$AB$31:$AB$50,$A$64,Monthly!H$75:H$94))</f>
        <v/>
      </c>
      <c r="I67" s="7" t="str">
        <f aca="false">IF(OR($A$64="",Monthly!I$5=""),"",SUMIF(Monthly!$AB$31:$AB$50,$A$64,Monthly!I$75:I$94))</f>
        <v/>
      </c>
      <c r="J67" s="7" t="str">
        <f aca="false">IF(OR($A$64="",Monthly!J$5=""),"",SUMIF(Monthly!$AB$31:$AB$50,$A$64,Monthly!J$75:J$94))</f>
        <v/>
      </c>
      <c r="K67" s="7" t="str">
        <f aca="false">IF(OR($A$64="",Monthly!K$5=""),"",SUMIF(Monthly!$AB$31:$AB$50,$A$64,Monthly!K$75:K$94))</f>
        <v/>
      </c>
      <c r="L67" s="7" t="str">
        <f aca="false">IF(OR($A$64="",Monthly!L$5=""),"",SUMIF(Monthly!$AB$31:$AB$50,$A$64,Monthly!L$75:L$94))</f>
        <v/>
      </c>
      <c r="M67" s="7" t="str">
        <f aca="false">IF(OR($A$64="",Monthly!M$5=""),"",SUMIF(Monthly!$AB$31:$AB$50,$A$64,Monthly!M$75:M$94))</f>
        <v/>
      </c>
      <c r="N67" s="7" t="str">
        <f aca="false">IF(OR($A$64="",Monthly!N$5=""),"",SUMIF(Monthly!$AB$31:$AB$50,$A$64,Monthly!N$75:N$94))</f>
        <v/>
      </c>
      <c r="O67" s="7" t="str">
        <f aca="false">IF(OR($A$64="",Monthly!O$5=""),"",SUMIF(Monthly!$AB$31:$AB$50,$A$64,Monthly!O$75:O$94))</f>
        <v/>
      </c>
      <c r="P67" s="7" t="str">
        <f aca="false">IF(OR($A$64="",Monthly!P$5=""),"",SUMIF(Monthly!$AB$31:$AB$50,$A$64,Monthly!P$75:P$94))</f>
        <v/>
      </c>
      <c r="Q67" s="7" t="str">
        <f aca="false">IF(OR($A$64="",Monthly!Q$5=""),"",SUMIF(Monthly!$AB$31:$AB$50,$A$64,Monthly!Q$75:Q$94))</f>
        <v/>
      </c>
      <c r="R67" s="7" t="str">
        <f aca="false">IF(OR($A$64="",Monthly!R$5=""),"",SUMIF(Monthly!$AB$31:$AB$50,$A$64,Monthly!R$75:R$94))</f>
        <v/>
      </c>
      <c r="S67" s="7" t="str">
        <f aca="false">IF(OR($A$64="",Monthly!S$5=""),"",SUMIF(Monthly!$AB$31:$AB$50,$A$64,Monthly!S$75:S$94))</f>
        <v/>
      </c>
      <c r="T67" s="7" t="str">
        <f aca="false">IF(OR($A$64="",Monthly!T$5=""),"",SUMIF(Monthly!$AB$31:$AB$50,$A$64,Monthly!T$75:T$94))</f>
        <v/>
      </c>
      <c r="U67" s="7" t="str">
        <f aca="false">IF(OR($A$64="",Monthly!U$5=""),"",SUMIF(Monthly!$AB$31:$AB$50,$A$64,Monthly!U$75:U$94))</f>
        <v/>
      </c>
      <c r="V67" s="7" t="str">
        <f aca="false">IF(OR($A$64="",Monthly!V$5=""),"",SUMIF(Monthly!$AB$31:$AB$50,$A$64,Monthly!V$75:V$94))</f>
        <v/>
      </c>
      <c r="W67" s="7" t="str">
        <f aca="false">IF(OR($A$64="",Monthly!W$5=""),"",SUMIF(Monthly!$AB$31:$AB$50,$A$64,Monthly!W$75:W$94))</f>
        <v/>
      </c>
      <c r="X67" s="7" t="str">
        <f aca="false">IF(OR($A$64="",Monthly!X$5=""),"",SUMIF(Monthly!$AB$31:$AB$50,$A$64,Monthly!X$75:X$94))</f>
        <v/>
      </c>
      <c r="Y67" s="7" t="str">
        <f aca="false">IF(OR($A$64="",Monthly!Y$5=""),"",SUMIF(Monthly!$AB$31:$AB$50,$A$64,Monthly!Y$75:Y$94))</f>
        <v/>
      </c>
      <c r="Z67" s="7" t="str">
        <f aca="false">IF(OR($A$64="",Monthly!Z$5=""),"",SUMIF(Monthly!$AB$31:$AB$50,$A$64,Monthly!Z$75:Z$94))</f>
        <v/>
      </c>
      <c r="AA67" s="25" t="str">
        <f aca="false">IF($A$64="","",SUM(C67:Z67))</f>
        <v/>
      </c>
    </row>
    <row r="68" customFormat="false" ht="15" hidden="false" customHeight="false" outlineLevel="0" collapsed="false">
      <c r="B68" s="3" t="s">
        <v>25</v>
      </c>
      <c r="C68" s="7" t="str">
        <f aca="false">IF(C66="","",C66-C67)</f>
        <v/>
      </c>
      <c r="D68" s="7" t="str">
        <f aca="false">IF(D66="","",D66-D67)</f>
        <v/>
      </c>
      <c r="E68" s="7" t="str">
        <f aca="false">IF(E66="","",E66-E67)</f>
        <v/>
      </c>
      <c r="F68" s="7" t="str">
        <f aca="false">IF(F66="","",F66-F67)</f>
        <v/>
      </c>
      <c r="G68" s="7" t="str">
        <f aca="false">IF(G66="","",G66-G67)</f>
        <v/>
      </c>
      <c r="H68" s="7" t="str">
        <f aca="false">IF(H66="","",H66-H67)</f>
        <v/>
      </c>
      <c r="I68" s="7" t="str">
        <f aca="false">IF(I66="","",I66-I67)</f>
        <v/>
      </c>
      <c r="J68" s="7" t="str">
        <f aca="false">IF(J66="","",J66-J67)</f>
        <v/>
      </c>
      <c r="K68" s="7" t="str">
        <f aca="false">IF(K66="","",K66-K67)</f>
        <v/>
      </c>
      <c r="L68" s="7" t="str">
        <f aca="false">IF(L66="","",L66-L67)</f>
        <v/>
      </c>
      <c r="M68" s="7" t="str">
        <f aca="false">IF(M66="","",M66-M67)</f>
        <v/>
      </c>
      <c r="N68" s="7" t="str">
        <f aca="false">IF(N66="","",N66-N67)</f>
        <v/>
      </c>
      <c r="O68" s="7" t="str">
        <f aca="false">IF(O66="","",O66-O67)</f>
        <v/>
      </c>
      <c r="P68" s="7" t="str">
        <f aca="false">IF(P66="","",P66-P67)</f>
        <v/>
      </c>
      <c r="Q68" s="7" t="str">
        <f aca="false">IF(Q66="","",Q66-Q67)</f>
        <v/>
      </c>
      <c r="R68" s="7" t="str">
        <f aca="false">IF(R66="","",R66-R67)</f>
        <v/>
      </c>
      <c r="S68" s="7" t="str">
        <f aca="false">IF(S66="","",S66-S67)</f>
        <v/>
      </c>
      <c r="T68" s="7" t="str">
        <f aca="false">IF(T66="","",T66-T67)</f>
        <v/>
      </c>
      <c r="U68" s="7" t="str">
        <f aca="false">IF(U66="","",U66-U67)</f>
        <v/>
      </c>
      <c r="V68" s="7" t="str">
        <f aca="false">IF(V66="","",V66-V67)</f>
        <v/>
      </c>
      <c r="W68" s="7" t="str">
        <f aca="false">IF(W66="","",W66-W67)</f>
        <v/>
      </c>
      <c r="X68" s="7" t="str">
        <f aca="false">IF(X66="","",X66-X67)</f>
        <v/>
      </c>
      <c r="Y68" s="7" t="str">
        <f aca="false">IF(Y66="","",Y66-Y67)</f>
        <v/>
      </c>
      <c r="Z68" s="7" t="str">
        <f aca="false">IF(Z66="","",Z66-Z67)</f>
        <v/>
      </c>
      <c r="AA68" s="25" t="str">
        <f aca="false">IF($A$64="","",SUM(C68:Z68))</f>
        <v/>
      </c>
    </row>
    <row r="69" customFormat="false" ht="15" hidden="false" customHeight="false" outlineLevel="0" collapsed="false">
      <c r="B69" s="3" t="s">
        <v>27</v>
      </c>
      <c r="C69" s="12" t="str">
        <f aca="false">IF(OR(C66="",C66=0),"",C68/C66)</f>
        <v/>
      </c>
      <c r="D69" s="12" t="str">
        <f aca="false">IF(OR(D66="",D66=0),"",D68/D66)</f>
        <v/>
      </c>
      <c r="E69" s="12" t="str">
        <f aca="false">IF(OR(E66="",E66=0),"",E68/E66)</f>
        <v/>
      </c>
      <c r="F69" s="12" t="str">
        <f aca="false">IF(OR(F66="",F66=0),"",F68/F66)</f>
        <v/>
      </c>
      <c r="G69" s="12" t="str">
        <f aca="false">IF(OR(G66="",G66=0),"",G68/G66)</f>
        <v/>
      </c>
      <c r="H69" s="12" t="str">
        <f aca="false">IF(OR(H66="",H66=0),"",H68/H66)</f>
        <v/>
      </c>
      <c r="I69" s="12" t="str">
        <f aca="false">IF(OR(I66="",I66=0),"",I68/I66)</f>
        <v/>
      </c>
      <c r="J69" s="12" t="str">
        <f aca="false">IF(OR(J66="",J66=0),"",J68/J66)</f>
        <v/>
      </c>
      <c r="K69" s="12" t="str">
        <f aca="false">IF(OR(K66="",K66=0),"",K68/K66)</f>
        <v/>
      </c>
      <c r="L69" s="12" t="str">
        <f aca="false">IF(OR(L66="",L66=0),"",L68/L66)</f>
        <v/>
      </c>
      <c r="M69" s="12" t="str">
        <f aca="false">IF(OR(M66="",M66=0),"",M68/M66)</f>
        <v/>
      </c>
      <c r="N69" s="12" t="str">
        <f aca="false">IF(OR(N66="",N66=0),"",N68/N66)</f>
        <v/>
      </c>
      <c r="O69" s="12" t="str">
        <f aca="false">IF(OR(O66="",O66=0),"",O68/O66)</f>
        <v/>
      </c>
      <c r="P69" s="12" t="str">
        <f aca="false">IF(OR(P66="",P66=0),"",P68/P66)</f>
        <v/>
      </c>
      <c r="Q69" s="12" t="str">
        <f aca="false">IF(OR(Q66="",Q66=0),"",Q68/Q66)</f>
        <v/>
      </c>
      <c r="R69" s="12" t="str">
        <f aca="false">IF(OR(R66="",R66=0),"",R68/R66)</f>
        <v/>
      </c>
      <c r="S69" s="12" t="str">
        <f aca="false">IF(OR(S66="",S66=0),"",S68/S66)</f>
        <v/>
      </c>
      <c r="T69" s="12" t="str">
        <f aca="false">IF(OR(T66="",T66=0),"",T68/T66)</f>
        <v/>
      </c>
      <c r="U69" s="12" t="str">
        <f aca="false">IF(OR(U66="",U66=0),"",U68/U66)</f>
        <v/>
      </c>
      <c r="V69" s="12" t="str">
        <f aca="false">IF(OR(V66="",V66=0),"",V68/V66)</f>
        <v/>
      </c>
      <c r="W69" s="12" t="str">
        <f aca="false">IF(OR(W66="",W66=0),"",W68/W66)</f>
        <v/>
      </c>
      <c r="X69" s="12" t="str">
        <f aca="false">IF(OR(X66="",X66=0),"",X68/X66)</f>
        <v/>
      </c>
      <c r="Y69" s="12" t="str">
        <f aca="false">IF(OR(Y66="",Y66=0),"",Y68/Y66)</f>
        <v/>
      </c>
      <c r="Z69" s="12" t="str">
        <f aca="false">IF(OR(Z66="",Z66=0),"",Z68/Z66)</f>
        <v/>
      </c>
      <c r="AA69" s="26" t="str">
        <f aca="false">IF(OR($A$64="",AA66="",AA66=0),"",AA68/AA66)</f>
        <v/>
      </c>
    </row>
    <row r="71" customFormat="false" ht="15" hidden="false" customHeight="false" outlineLevel="0" collapsed="false">
      <c r="A71" s="40" t="s">
        <v>162</v>
      </c>
      <c r="B71" s="36" t="s">
        <v>62</v>
      </c>
      <c r="C71" s="22" t="str">
        <f aca="false">IF(OR($A$71="",Monthly!C$5=""),"",SUMPRODUCT((Monthly!$AB$31:$AB$50=$A$71)*(Monthly!C$31:C$50&gt;0)))</f>
        <v/>
      </c>
      <c r="D71" s="22" t="str">
        <f aca="false">IF(OR($A$71="",Monthly!D$5=""),"",SUMPRODUCT((Monthly!$AB$31:$AB$50=$A$71)*(Monthly!D$31:D$50&gt;0)))</f>
        <v/>
      </c>
      <c r="E71" s="22" t="str">
        <f aca="false">IF(OR($A$71="",Monthly!E$5=""),"",SUMPRODUCT((Monthly!$AB$31:$AB$50=$A$71)*(Monthly!E$31:E$50&gt;0)))</f>
        <v/>
      </c>
      <c r="F71" s="22" t="str">
        <f aca="false">IF(OR($A$71="",Monthly!F$5=""),"",SUMPRODUCT((Monthly!$AB$31:$AB$50=$A$71)*(Monthly!F$31:F$50&gt;0)))</f>
        <v/>
      </c>
      <c r="G71" s="22" t="str">
        <f aca="false">IF(OR($A$71="",Monthly!G$5=""),"",SUMPRODUCT((Monthly!$AB$31:$AB$50=$A$71)*(Monthly!G$31:G$50&gt;0)))</f>
        <v/>
      </c>
      <c r="H71" s="22" t="str">
        <f aca="false">IF(OR($A$71="",Monthly!H$5=""),"",SUMPRODUCT((Monthly!$AB$31:$AB$50=$A$71)*(Monthly!H$31:H$50&gt;0)))</f>
        <v/>
      </c>
      <c r="I71" s="22" t="str">
        <f aca="false">IF(OR($A$71="",Monthly!I$5=""),"",SUMPRODUCT((Monthly!$AB$31:$AB$50=$A$71)*(Monthly!I$31:I$50&gt;0)))</f>
        <v/>
      </c>
      <c r="J71" s="22" t="str">
        <f aca="false">IF(OR($A$71="",Monthly!J$5=""),"",SUMPRODUCT((Monthly!$AB$31:$AB$50=$A$71)*(Monthly!J$31:J$50&gt;0)))</f>
        <v/>
      </c>
      <c r="K71" s="22" t="str">
        <f aca="false">IF(OR($A$71="",Monthly!K$5=""),"",SUMPRODUCT((Monthly!$AB$31:$AB$50=$A$71)*(Monthly!K$31:K$50&gt;0)))</f>
        <v/>
      </c>
      <c r="L71" s="22" t="str">
        <f aca="false">IF(OR($A$71="",Monthly!L$5=""),"",SUMPRODUCT((Monthly!$AB$31:$AB$50=$A$71)*(Monthly!L$31:L$50&gt;0)))</f>
        <v/>
      </c>
      <c r="M71" s="22" t="str">
        <f aca="false">IF(OR($A$71="",Monthly!M$5=""),"",SUMPRODUCT((Monthly!$AB$31:$AB$50=$A$71)*(Monthly!M$31:M$50&gt;0)))</f>
        <v/>
      </c>
      <c r="N71" s="22" t="str">
        <f aca="false">IF(OR($A$71="",Monthly!N$5=""),"",SUMPRODUCT((Monthly!$AB$31:$AB$50=$A$71)*(Monthly!N$31:N$50&gt;0)))</f>
        <v/>
      </c>
      <c r="O71" s="22" t="str">
        <f aca="false">IF(OR($A$71="",Monthly!O$5=""),"",SUMPRODUCT((Monthly!$AB$31:$AB$50=$A$71)*(Monthly!O$31:O$50&gt;0)))</f>
        <v/>
      </c>
      <c r="P71" s="22" t="str">
        <f aca="false">IF(OR($A$71="",Monthly!P$5=""),"",SUMPRODUCT((Monthly!$AB$31:$AB$50=$A$71)*(Monthly!P$31:P$50&gt;0)))</f>
        <v/>
      </c>
      <c r="Q71" s="22" t="str">
        <f aca="false">IF(OR($A$71="",Monthly!Q$5=""),"",SUMPRODUCT((Monthly!$AB$31:$AB$50=$A$71)*(Monthly!Q$31:Q$50&gt;0)))</f>
        <v/>
      </c>
      <c r="R71" s="22" t="str">
        <f aca="false">IF(OR($A$71="",Monthly!R$5=""),"",SUMPRODUCT((Monthly!$AB$31:$AB$50=$A$71)*(Monthly!R$31:R$50&gt;0)))</f>
        <v/>
      </c>
      <c r="S71" s="22" t="str">
        <f aca="false">IF(OR($A$71="",Monthly!S$5=""),"",SUMPRODUCT((Monthly!$AB$31:$AB$50=$A$71)*(Monthly!S$31:S$50&gt;0)))</f>
        <v/>
      </c>
      <c r="T71" s="22" t="str">
        <f aca="false">IF(OR($A$71="",Monthly!T$5=""),"",SUMPRODUCT((Monthly!$AB$31:$AB$50=$A$71)*(Monthly!T$31:T$50&gt;0)))</f>
        <v/>
      </c>
      <c r="U71" s="22" t="str">
        <f aca="false">IF(OR($A$71="",Monthly!U$5=""),"",SUMPRODUCT((Monthly!$AB$31:$AB$50=$A$71)*(Monthly!U$31:U$50&gt;0)))</f>
        <v/>
      </c>
      <c r="V71" s="22" t="str">
        <f aca="false">IF(OR($A$71="",Monthly!V$5=""),"",SUMPRODUCT((Monthly!$AB$31:$AB$50=$A$71)*(Monthly!V$31:V$50&gt;0)))</f>
        <v/>
      </c>
      <c r="W71" s="22" t="str">
        <f aca="false">IF(OR($A$71="",Monthly!W$5=""),"",SUMPRODUCT((Monthly!$AB$31:$AB$50=$A$71)*(Monthly!W$31:W$50&gt;0)))</f>
        <v/>
      </c>
      <c r="X71" s="22" t="str">
        <f aca="false">IF(OR($A$71="",Monthly!X$5=""),"",SUMPRODUCT((Monthly!$AB$31:$AB$50=$A$71)*(Monthly!X$31:X$50&gt;0)))</f>
        <v/>
      </c>
      <c r="Y71" s="22" t="str">
        <f aca="false">IF(OR($A$71="",Monthly!Y$5=""),"",SUMPRODUCT((Monthly!$AB$31:$AB$50=$A$71)*(Monthly!Y$31:Y$50&gt;0)))</f>
        <v/>
      </c>
      <c r="Z71" s="22" t="str">
        <f aca="false">IF(OR($A$71="",Monthly!Z$5=""),"",SUMPRODUCT((Monthly!$AB$31:$AB$50=$A$71)*(Monthly!Z$31:Z$50&gt;0)))</f>
        <v/>
      </c>
      <c r="AA71" s="37" t="n">
        <f aca="false">IF($A$71="","",MAX(C71:Z71))</f>
        <v>0</v>
      </c>
    </row>
    <row r="72" customFormat="false" ht="15" hidden="false" customHeight="false" outlineLevel="0" collapsed="false">
      <c r="B72" s="36" t="s">
        <v>149</v>
      </c>
      <c r="C72" s="35" t="str">
        <f aca="false">IF(OR($A$71="",Monthly!C$5=""),"",SUMIF(Monthly!$AB$31:$AB$50,$A$71,Monthly!C$31:C$50))</f>
        <v/>
      </c>
      <c r="D72" s="35" t="str">
        <f aca="false">IF(OR($A$71="",Monthly!D$5=""),"",SUMIF(Monthly!$AB$31:$AB$50,$A$71,Monthly!D$31:D$50))</f>
        <v/>
      </c>
      <c r="E72" s="35" t="str">
        <f aca="false">IF(OR($A$71="",Monthly!E$5=""),"",SUMIF(Monthly!$AB$31:$AB$50,$A$71,Monthly!E$31:E$50))</f>
        <v/>
      </c>
      <c r="F72" s="35" t="str">
        <f aca="false">IF(OR($A$71="",Monthly!F$5=""),"",SUMIF(Monthly!$AB$31:$AB$50,$A$71,Monthly!F$31:F$50))</f>
        <v/>
      </c>
      <c r="G72" s="35" t="str">
        <f aca="false">IF(OR($A$71="",Monthly!G$5=""),"",SUMIF(Monthly!$AB$31:$AB$50,$A$71,Monthly!G$31:G$50))</f>
        <v/>
      </c>
      <c r="H72" s="35" t="str">
        <f aca="false">IF(OR($A$71="",Monthly!H$5=""),"",SUMIF(Monthly!$AB$31:$AB$50,$A$71,Monthly!H$31:H$50))</f>
        <v/>
      </c>
      <c r="I72" s="35" t="str">
        <f aca="false">IF(OR($A$71="",Monthly!I$5=""),"",SUMIF(Monthly!$AB$31:$AB$50,$A$71,Monthly!I$31:I$50))</f>
        <v/>
      </c>
      <c r="J72" s="35" t="str">
        <f aca="false">IF(OR($A$71="",Monthly!J$5=""),"",SUMIF(Monthly!$AB$31:$AB$50,$A$71,Monthly!J$31:J$50))</f>
        <v/>
      </c>
      <c r="K72" s="35" t="str">
        <f aca="false">IF(OR($A$71="",Monthly!K$5=""),"",SUMIF(Monthly!$AB$31:$AB$50,$A$71,Monthly!K$31:K$50))</f>
        <v/>
      </c>
      <c r="L72" s="35" t="str">
        <f aca="false">IF(OR($A$71="",Monthly!L$5=""),"",SUMIF(Monthly!$AB$31:$AB$50,$A$71,Monthly!L$31:L$50))</f>
        <v/>
      </c>
      <c r="M72" s="35" t="str">
        <f aca="false">IF(OR($A$71="",Monthly!M$5=""),"",SUMIF(Monthly!$AB$31:$AB$50,$A$71,Monthly!M$31:M$50))</f>
        <v/>
      </c>
      <c r="N72" s="35" t="str">
        <f aca="false">IF(OR($A$71="",Monthly!N$5=""),"",SUMIF(Monthly!$AB$31:$AB$50,$A$71,Monthly!N$31:N$50))</f>
        <v/>
      </c>
      <c r="O72" s="35" t="str">
        <f aca="false">IF(OR($A$71="",Monthly!O$5=""),"",SUMIF(Monthly!$AB$31:$AB$50,$A$71,Monthly!O$31:O$50))</f>
        <v/>
      </c>
      <c r="P72" s="35" t="str">
        <f aca="false">IF(OR($A$71="",Monthly!P$5=""),"",SUMIF(Monthly!$AB$31:$AB$50,$A$71,Monthly!P$31:P$50))</f>
        <v/>
      </c>
      <c r="Q72" s="35" t="str">
        <f aca="false">IF(OR($A$71="",Monthly!Q$5=""),"",SUMIF(Monthly!$AB$31:$AB$50,$A$71,Monthly!Q$31:Q$50))</f>
        <v/>
      </c>
      <c r="R72" s="35" t="str">
        <f aca="false">IF(OR($A$71="",Monthly!R$5=""),"",SUMIF(Monthly!$AB$31:$AB$50,$A$71,Monthly!R$31:R$50))</f>
        <v/>
      </c>
      <c r="S72" s="35" t="str">
        <f aca="false">IF(OR($A$71="",Monthly!S$5=""),"",SUMIF(Monthly!$AB$31:$AB$50,$A$71,Monthly!S$31:S$50))</f>
        <v/>
      </c>
      <c r="T72" s="35" t="str">
        <f aca="false">IF(OR($A$71="",Monthly!T$5=""),"",SUMIF(Monthly!$AB$31:$AB$50,$A$71,Monthly!T$31:T$50))</f>
        <v/>
      </c>
      <c r="U72" s="35" t="str">
        <f aca="false">IF(OR($A$71="",Monthly!U$5=""),"",SUMIF(Monthly!$AB$31:$AB$50,$A$71,Monthly!U$31:U$50))</f>
        <v/>
      </c>
      <c r="V72" s="35" t="str">
        <f aca="false">IF(OR($A$71="",Monthly!V$5=""),"",SUMIF(Monthly!$AB$31:$AB$50,$A$71,Monthly!V$31:V$50))</f>
        <v/>
      </c>
      <c r="W72" s="35" t="str">
        <f aca="false">IF(OR($A$71="",Monthly!W$5=""),"",SUMIF(Monthly!$AB$31:$AB$50,$A$71,Monthly!W$31:W$50))</f>
        <v/>
      </c>
      <c r="X72" s="35" t="str">
        <f aca="false">IF(OR($A$71="",Monthly!X$5=""),"",SUMIF(Monthly!$AB$31:$AB$50,$A$71,Monthly!X$31:X$50))</f>
        <v/>
      </c>
      <c r="Y72" s="35" t="str">
        <f aca="false">IF(OR($A$71="",Monthly!Y$5=""),"",SUMIF(Monthly!$AB$31:$AB$50,$A$71,Monthly!Y$31:Y$50))</f>
        <v/>
      </c>
      <c r="Z72" s="35" t="str">
        <f aca="false">IF(OR($A$71="",Monthly!Z$5=""),"",SUMIF(Monthly!$AB$31:$AB$50,$A$71,Monthly!Z$31:Z$50))</f>
        <v/>
      </c>
      <c r="AA72" s="24" t="n">
        <f aca="false">IF($A$71="","",SUM(C72:Z72))</f>
        <v>0</v>
      </c>
    </row>
    <row r="73" customFormat="false" ht="15" hidden="false" customHeight="false" outlineLevel="0" collapsed="false">
      <c r="B73" s="3" t="s">
        <v>151</v>
      </c>
      <c r="C73" s="7" t="str">
        <f aca="false">IF(OR($A$71="",Monthly!C$5=""),"",SUMIF(Monthly!$AB$31:$AB$50,$A$71,Monthly!C$53:C$72))</f>
        <v/>
      </c>
      <c r="D73" s="7" t="str">
        <f aca="false">IF(OR($A$71="",Monthly!D$5=""),"",SUMIF(Monthly!$AB$31:$AB$50,$A$71,Monthly!D$53:D$72))</f>
        <v/>
      </c>
      <c r="E73" s="7" t="str">
        <f aca="false">IF(OR($A$71="",Monthly!E$5=""),"",SUMIF(Monthly!$AB$31:$AB$50,$A$71,Monthly!E$53:E$72))</f>
        <v/>
      </c>
      <c r="F73" s="7" t="str">
        <f aca="false">IF(OR($A$71="",Monthly!F$5=""),"",SUMIF(Monthly!$AB$31:$AB$50,$A$71,Monthly!F$53:F$72))</f>
        <v/>
      </c>
      <c r="G73" s="7" t="str">
        <f aca="false">IF(OR($A$71="",Monthly!G$5=""),"",SUMIF(Monthly!$AB$31:$AB$50,$A$71,Monthly!G$53:G$72))</f>
        <v/>
      </c>
      <c r="H73" s="7" t="str">
        <f aca="false">IF(OR($A$71="",Monthly!H$5=""),"",SUMIF(Monthly!$AB$31:$AB$50,$A$71,Monthly!H$53:H$72))</f>
        <v/>
      </c>
      <c r="I73" s="7" t="str">
        <f aca="false">IF(OR($A$71="",Monthly!I$5=""),"",SUMIF(Monthly!$AB$31:$AB$50,$A$71,Monthly!I$53:I$72))</f>
        <v/>
      </c>
      <c r="J73" s="7" t="str">
        <f aca="false">IF(OR($A$71="",Monthly!J$5=""),"",SUMIF(Monthly!$AB$31:$AB$50,$A$71,Monthly!J$53:J$72))</f>
        <v/>
      </c>
      <c r="K73" s="7" t="str">
        <f aca="false">IF(OR($A$71="",Monthly!K$5=""),"",SUMIF(Monthly!$AB$31:$AB$50,$A$71,Monthly!K$53:K$72))</f>
        <v/>
      </c>
      <c r="L73" s="7" t="str">
        <f aca="false">IF(OR($A$71="",Monthly!L$5=""),"",SUMIF(Monthly!$AB$31:$AB$50,$A$71,Monthly!L$53:L$72))</f>
        <v/>
      </c>
      <c r="M73" s="7" t="str">
        <f aca="false">IF(OR($A$71="",Monthly!M$5=""),"",SUMIF(Monthly!$AB$31:$AB$50,$A$71,Monthly!M$53:M$72))</f>
        <v/>
      </c>
      <c r="N73" s="7" t="str">
        <f aca="false">IF(OR($A$71="",Monthly!N$5=""),"",SUMIF(Monthly!$AB$31:$AB$50,$A$71,Monthly!N$53:N$72))</f>
        <v/>
      </c>
      <c r="O73" s="7" t="str">
        <f aca="false">IF(OR($A$71="",Monthly!O$5=""),"",SUMIF(Monthly!$AB$31:$AB$50,$A$71,Monthly!O$53:O$72))</f>
        <v/>
      </c>
      <c r="P73" s="7" t="str">
        <f aca="false">IF(OR($A$71="",Monthly!P$5=""),"",SUMIF(Monthly!$AB$31:$AB$50,$A$71,Monthly!P$53:P$72))</f>
        <v/>
      </c>
      <c r="Q73" s="7" t="str">
        <f aca="false">IF(OR($A$71="",Monthly!Q$5=""),"",SUMIF(Monthly!$AB$31:$AB$50,$A$71,Monthly!Q$53:Q$72))</f>
        <v/>
      </c>
      <c r="R73" s="7" t="str">
        <f aca="false">IF(OR($A$71="",Monthly!R$5=""),"",SUMIF(Monthly!$AB$31:$AB$50,$A$71,Monthly!R$53:R$72))</f>
        <v/>
      </c>
      <c r="S73" s="7" t="str">
        <f aca="false">IF(OR($A$71="",Monthly!S$5=""),"",SUMIF(Monthly!$AB$31:$AB$50,$A$71,Monthly!S$53:S$72))</f>
        <v/>
      </c>
      <c r="T73" s="7" t="str">
        <f aca="false">IF(OR($A$71="",Monthly!T$5=""),"",SUMIF(Monthly!$AB$31:$AB$50,$A$71,Monthly!T$53:T$72))</f>
        <v/>
      </c>
      <c r="U73" s="7" t="str">
        <f aca="false">IF(OR($A$71="",Monthly!U$5=""),"",SUMIF(Monthly!$AB$31:$AB$50,$A$71,Monthly!U$53:U$72))</f>
        <v/>
      </c>
      <c r="V73" s="7" t="str">
        <f aca="false">IF(OR($A$71="",Monthly!V$5=""),"",SUMIF(Monthly!$AB$31:$AB$50,$A$71,Monthly!V$53:V$72))</f>
        <v/>
      </c>
      <c r="W73" s="7" t="str">
        <f aca="false">IF(OR($A$71="",Monthly!W$5=""),"",SUMIF(Monthly!$AB$31:$AB$50,$A$71,Monthly!W$53:W$72))</f>
        <v/>
      </c>
      <c r="X73" s="7" t="str">
        <f aca="false">IF(OR($A$71="",Monthly!X$5=""),"",SUMIF(Monthly!$AB$31:$AB$50,$A$71,Monthly!X$53:X$72))</f>
        <v/>
      </c>
      <c r="Y73" s="7" t="str">
        <f aca="false">IF(OR($A$71="",Monthly!Y$5=""),"",SUMIF(Monthly!$AB$31:$AB$50,$A$71,Monthly!Y$53:Y$72))</f>
        <v/>
      </c>
      <c r="Z73" s="7" t="str">
        <f aca="false">IF(OR($A$71="",Monthly!Z$5=""),"",SUMIF(Monthly!$AB$31:$AB$50,$A$71,Monthly!Z$53:Z$72))</f>
        <v/>
      </c>
      <c r="AA73" s="25" t="n">
        <f aca="false">IF($A$71="","",SUM(C73:Z73))</f>
        <v>0</v>
      </c>
    </row>
    <row r="74" customFormat="false" ht="15" hidden="false" customHeight="false" outlineLevel="0" collapsed="false">
      <c r="B74" s="36" t="s">
        <v>160</v>
      </c>
      <c r="C74" s="7" t="str">
        <f aca="false">IF(OR($A$71="",Monthly!C$5=""),"",SUMIF(Monthly!$AB$31:$AB$50,$A$71,Monthly!C$75:C$94))</f>
        <v/>
      </c>
      <c r="D74" s="7" t="str">
        <f aca="false">IF(OR($A$71="",Monthly!D$5=""),"",SUMIF(Monthly!$AB$31:$AB$50,$A$71,Monthly!D$75:D$94))</f>
        <v/>
      </c>
      <c r="E74" s="7" t="str">
        <f aca="false">IF(OR($A$71="",Monthly!E$5=""),"",SUMIF(Monthly!$AB$31:$AB$50,$A$71,Monthly!E$75:E$94))</f>
        <v/>
      </c>
      <c r="F74" s="7" t="str">
        <f aca="false">IF(OR($A$71="",Monthly!F$5=""),"",SUMIF(Monthly!$AB$31:$AB$50,$A$71,Monthly!F$75:F$94))</f>
        <v/>
      </c>
      <c r="G74" s="7" t="str">
        <f aca="false">IF(OR($A$71="",Monthly!G$5=""),"",SUMIF(Monthly!$AB$31:$AB$50,$A$71,Monthly!G$75:G$94))</f>
        <v/>
      </c>
      <c r="H74" s="7" t="str">
        <f aca="false">IF(OR($A$71="",Monthly!H$5=""),"",SUMIF(Monthly!$AB$31:$AB$50,$A$71,Monthly!H$75:H$94))</f>
        <v/>
      </c>
      <c r="I74" s="7" t="str">
        <f aca="false">IF(OR($A$71="",Monthly!I$5=""),"",SUMIF(Monthly!$AB$31:$AB$50,$A$71,Monthly!I$75:I$94))</f>
        <v/>
      </c>
      <c r="J74" s="7" t="str">
        <f aca="false">IF(OR($A$71="",Monthly!J$5=""),"",SUMIF(Monthly!$AB$31:$AB$50,$A$71,Monthly!J$75:J$94))</f>
        <v/>
      </c>
      <c r="K74" s="7" t="str">
        <f aca="false">IF(OR($A$71="",Monthly!K$5=""),"",SUMIF(Monthly!$AB$31:$AB$50,$A$71,Monthly!K$75:K$94))</f>
        <v/>
      </c>
      <c r="L74" s="7" t="str">
        <f aca="false">IF(OR($A$71="",Monthly!L$5=""),"",SUMIF(Monthly!$AB$31:$AB$50,$A$71,Monthly!L$75:L$94))</f>
        <v/>
      </c>
      <c r="M74" s="7" t="str">
        <f aca="false">IF(OR($A$71="",Monthly!M$5=""),"",SUMIF(Monthly!$AB$31:$AB$50,$A$71,Monthly!M$75:M$94))</f>
        <v/>
      </c>
      <c r="N74" s="7" t="str">
        <f aca="false">IF(OR($A$71="",Monthly!N$5=""),"",SUMIF(Monthly!$AB$31:$AB$50,$A$71,Monthly!N$75:N$94))</f>
        <v/>
      </c>
      <c r="O74" s="7" t="str">
        <f aca="false">IF(OR($A$71="",Monthly!O$5=""),"",SUMIF(Monthly!$AB$31:$AB$50,$A$71,Monthly!O$75:O$94))</f>
        <v/>
      </c>
      <c r="P74" s="7" t="str">
        <f aca="false">IF(OR($A$71="",Monthly!P$5=""),"",SUMIF(Monthly!$AB$31:$AB$50,$A$71,Monthly!P$75:P$94))</f>
        <v/>
      </c>
      <c r="Q74" s="7" t="str">
        <f aca="false">IF(OR($A$71="",Monthly!Q$5=""),"",SUMIF(Monthly!$AB$31:$AB$50,$A$71,Monthly!Q$75:Q$94))</f>
        <v/>
      </c>
      <c r="R74" s="7" t="str">
        <f aca="false">IF(OR($A$71="",Monthly!R$5=""),"",SUMIF(Monthly!$AB$31:$AB$50,$A$71,Monthly!R$75:R$94))</f>
        <v/>
      </c>
      <c r="S74" s="7" t="str">
        <f aca="false">IF(OR($A$71="",Monthly!S$5=""),"",SUMIF(Monthly!$AB$31:$AB$50,$A$71,Monthly!S$75:S$94))</f>
        <v/>
      </c>
      <c r="T74" s="7" t="str">
        <f aca="false">IF(OR($A$71="",Monthly!T$5=""),"",SUMIF(Monthly!$AB$31:$AB$50,$A$71,Monthly!T$75:T$94))</f>
        <v/>
      </c>
      <c r="U74" s="7" t="str">
        <f aca="false">IF(OR($A$71="",Monthly!U$5=""),"",SUMIF(Monthly!$AB$31:$AB$50,$A$71,Monthly!U$75:U$94))</f>
        <v/>
      </c>
      <c r="V74" s="7" t="str">
        <f aca="false">IF(OR($A$71="",Monthly!V$5=""),"",SUMIF(Monthly!$AB$31:$AB$50,$A$71,Monthly!V$75:V$94))</f>
        <v/>
      </c>
      <c r="W74" s="7" t="str">
        <f aca="false">IF(OR($A$71="",Monthly!W$5=""),"",SUMIF(Monthly!$AB$31:$AB$50,$A$71,Monthly!W$75:W$94))</f>
        <v/>
      </c>
      <c r="X74" s="7" t="str">
        <f aca="false">IF(OR($A$71="",Monthly!X$5=""),"",SUMIF(Monthly!$AB$31:$AB$50,$A$71,Monthly!X$75:X$94))</f>
        <v/>
      </c>
      <c r="Y74" s="7" t="str">
        <f aca="false">IF(OR($A$71="",Monthly!Y$5=""),"",SUMIF(Monthly!$AB$31:$AB$50,$A$71,Monthly!Y$75:Y$94))</f>
        <v/>
      </c>
      <c r="Z74" s="7" t="str">
        <f aca="false">IF(OR($A$71="",Monthly!Z$5=""),"",SUMIF(Monthly!$AB$31:$AB$50,$A$71,Monthly!Z$75:Z$94))</f>
        <v/>
      </c>
      <c r="AA74" s="25" t="n">
        <f aca="false">IF($A$71="","",SUM(C74:Z74))</f>
        <v>0</v>
      </c>
    </row>
    <row r="75" customFormat="false" ht="15" hidden="false" customHeight="false" outlineLevel="0" collapsed="false">
      <c r="B75" s="3" t="s">
        <v>25</v>
      </c>
      <c r="C75" s="7" t="str">
        <f aca="false">IF(C73="","",C73-C74)</f>
        <v/>
      </c>
      <c r="D75" s="7" t="str">
        <f aca="false">IF(D73="","",D73-D74)</f>
        <v/>
      </c>
      <c r="E75" s="7" t="str">
        <f aca="false">IF(E73="","",E73-E74)</f>
        <v/>
      </c>
      <c r="F75" s="7" t="str">
        <f aca="false">IF(F73="","",F73-F74)</f>
        <v/>
      </c>
      <c r="G75" s="7" t="str">
        <f aca="false">IF(G73="","",G73-G74)</f>
        <v/>
      </c>
      <c r="H75" s="7" t="str">
        <f aca="false">IF(H73="","",H73-H74)</f>
        <v/>
      </c>
      <c r="I75" s="7" t="str">
        <f aca="false">IF(I73="","",I73-I74)</f>
        <v/>
      </c>
      <c r="J75" s="7" t="str">
        <f aca="false">IF(J73="","",J73-J74)</f>
        <v/>
      </c>
      <c r="K75" s="7" t="str">
        <f aca="false">IF(K73="","",K73-K74)</f>
        <v/>
      </c>
      <c r="L75" s="7" t="str">
        <f aca="false">IF(L73="","",L73-L74)</f>
        <v/>
      </c>
      <c r="M75" s="7" t="str">
        <f aca="false">IF(M73="","",M73-M74)</f>
        <v/>
      </c>
      <c r="N75" s="7" t="str">
        <f aca="false">IF(N73="","",N73-N74)</f>
        <v/>
      </c>
      <c r="O75" s="7" t="str">
        <f aca="false">IF(O73="","",O73-O74)</f>
        <v/>
      </c>
      <c r="P75" s="7" t="str">
        <f aca="false">IF(P73="","",P73-P74)</f>
        <v/>
      </c>
      <c r="Q75" s="7" t="str">
        <f aca="false">IF(Q73="","",Q73-Q74)</f>
        <v/>
      </c>
      <c r="R75" s="7" t="str">
        <f aca="false">IF(R73="","",R73-R74)</f>
        <v/>
      </c>
      <c r="S75" s="7" t="str">
        <f aca="false">IF(S73="","",S73-S74)</f>
        <v/>
      </c>
      <c r="T75" s="7" t="str">
        <f aca="false">IF(T73="","",T73-T74)</f>
        <v/>
      </c>
      <c r="U75" s="7" t="str">
        <f aca="false">IF(U73="","",U73-U74)</f>
        <v/>
      </c>
      <c r="V75" s="7" t="str">
        <f aca="false">IF(V73="","",V73-V74)</f>
        <v/>
      </c>
      <c r="W75" s="7" t="str">
        <f aca="false">IF(W73="","",W73-W74)</f>
        <v/>
      </c>
      <c r="X75" s="7" t="str">
        <f aca="false">IF(X73="","",X73-X74)</f>
        <v/>
      </c>
      <c r="Y75" s="7" t="str">
        <f aca="false">IF(Y73="","",Y73-Y74)</f>
        <v/>
      </c>
      <c r="Z75" s="7" t="str">
        <f aca="false">IF(Z73="","",Z73-Z74)</f>
        <v/>
      </c>
      <c r="AA75" s="25" t="n">
        <f aca="false">IF($A$71="","",SUM(C75:Z75))</f>
        <v>0</v>
      </c>
    </row>
    <row r="76" customFormat="false" ht="15" hidden="false" customHeight="false" outlineLevel="0" collapsed="false">
      <c r="B76" s="3" t="s">
        <v>27</v>
      </c>
      <c r="C76" s="12" t="str">
        <f aca="false">IF(OR(C73="",C73=0),"",C75/C73)</f>
        <v/>
      </c>
      <c r="D76" s="12" t="str">
        <f aca="false">IF(OR(D73="",D73=0),"",D75/D73)</f>
        <v/>
      </c>
      <c r="E76" s="12" t="str">
        <f aca="false">IF(OR(E73="",E73=0),"",E75/E73)</f>
        <v/>
      </c>
      <c r="F76" s="12" t="str">
        <f aca="false">IF(OR(F73="",F73=0),"",F75/F73)</f>
        <v/>
      </c>
      <c r="G76" s="12" t="str">
        <f aca="false">IF(OR(G73="",G73=0),"",G75/G73)</f>
        <v/>
      </c>
      <c r="H76" s="12" t="str">
        <f aca="false">IF(OR(H73="",H73=0),"",H75/H73)</f>
        <v/>
      </c>
      <c r="I76" s="12" t="str">
        <f aca="false">IF(OR(I73="",I73=0),"",I75/I73)</f>
        <v/>
      </c>
      <c r="J76" s="12" t="str">
        <f aca="false">IF(OR(J73="",J73=0),"",J75/J73)</f>
        <v/>
      </c>
      <c r="K76" s="12" t="str">
        <f aca="false">IF(OR(K73="",K73=0),"",K75/K73)</f>
        <v/>
      </c>
      <c r="L76" s="12" t="str">
        <f aca="false">IF(OR(L73="",L73=0),"",L75/L73)</f>
        <v/>
      </c>
      <c r="M76" s="12" t="str">
        <f aca="false">IF(OR(M73="",M73=0),"",M75/M73)</f>
        <v/>
      </c>
      <c r="N76" s="12" t="str">
        <f aca="false">IF(OR(N73="",N73=0),"",N75/N73)</f>
        <v/>
      </c>
      <c r="O76" s="12" t="str">
        <f aca="false">IF(OR(O73="",O73=0),"",O75/O73)</f>
        <v/>
      </c>
      <c r="P76" s="12" t="str">
        <f aca="false">IF(OR(P73="",P73=0),"",P75/P73)</f>
        <v/>
      </c>
      <c r="Q76" s="12" t="str">
        <f aca="false">IF(OR(Q73="",Q73=0),"",Q75/Q73)</f>
        <v/>
      </c>
      <c r="R76" s="12" t="str">
        <f aca="false">IF(OR(R73="",R73=0),"",R75/R73)</f>
        <v/>
      </c>
      <c r="S76" s="12" t="str">
        <f aca="false">IF(OR(S73="",S73=0),"",S75/S73)</f>
        <v/>
      </c>
      <c r="T76" s="12" t="str">
        <f aca="false">IF(OR(T73="",T73=0),"",T75/T73)</f>
        <v/>
      </c>
      <c r="U76" s="12" t="str">
        <f aca="false">IF(OR(U73="",U73=0),"",U75/U73)</f>
        <v/>
      </c>
      <c r="V76" s="12" t="str">
        <f aca="false">IF(OR(V73="",V73=0),"",V75/V73)</f>
        <v/>
      </c>
      <c r="W76" s="12" t="str">
        <f aca="false">IF(OR(W73="",W73=0),"",W75/W73)</f>
        <v/>
      </c>
      <c r="X76" s="12" t="str">
        <f aca="false">IF(OR(X73="",X73=0),"",X75/X73)</f>
        <v/>
      </c>
      <c r="Y76" s="12" t="str">
        <f aca="false">IF(OR(Y73="",Y73=0),"",Y75/Y73)</f>
        <v/>
      </c>
      <c r="Z76" s="12" t="str">
        <f aca="false">IF(OR(Z73="",Z73=0),"",Z75/Z73)</f>
        <v/>
      </c>
      <c r="AA76" s="26" t="str">
        <f aca="false">IF(OR($A$71="",AA73="",AA73=0),"",AA75/AA73)</f>
        <v/>
      </c>
    </row>
  </sheetData>
  <conditionalFormatting sqref="A5:AA78">
    <cfRule type="expression" priority="2" aboveAverage="0" equalAverage="0" bottom="0" percent="0" rank="0" text="" dxfId="1">
      <formula>NOT(OR('Cost Margin'!$B$4="Time &amp; materials",'Cost Margin'!$B$4="Staff augmentation"))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2026-10-12T05:30:51Z</dcterms:created>
  <dc:creator>openpyxl</dc:creator>
  <dc:description/>
  <dc:language>en-US</dc:language>
  <cp:lastModifiedBy/>
  <dcterms:modified xsi:type="dcterms:W3CDTF">2026-10-12T05:30:51Z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