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srikanthparimi/Downloads/"/>
    </mc:Choice>
  </mc:AlternateContent>
  <xr:revisionPtr revIDLastSave="0" documentId="13_ncr:1_{EC536B20-5487-694D-BF0B-00013D78BE74}" xr6:coauthVersionLast="47" xr6:coauthVersionMax="47" xr10:uidLastSave="{00000000-0000-0000-0000-000000000000}"/>
  <bookViews>
    <workbookView xWindow="0" yWindow="0" windowWidth="28800" windowHeight="18000" tabRatio="500" xr2:uid="{00000000-000D-0000-FFFF-FFFF00000000}"/>
  </bookViews>
  <sheets>
    <sheet name="Cost Margin" sheetId="1" r:id="rId1"/>
    <sheet name="Monthly" sheetId="3" r:id="rId2"/>
    <sheet name="Settings" sheetId="2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50" i="3" l="1"/>
  <c r="B49" i="3"/>
  <c r="B48" i="3"/>
  <c r="B47" i="3"/>
  <c r="B46" i="3"/>
  <c r="B45" i="3"/>
  <c r="B44" i="3"/>
  <c r="B43" i="3"/>
  <c r="B42" i="3"/>
  <c r="B41" i="3"/>
  <c r="B40" i="3"/>
  <c r="B39" i="3"/>
  <c r="B38" i="3"/>
  <c r="B37" i="3"/>
  <c r="B36" i="3"/>
  <c r="B35" i="3"/>
  <c r="B34" i="3"/>
  <c r="B33" i="3"/>
  <c r="B32" i="3"/>
  <c r="B31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C5" i="3"/>
  <c r="C22" i="3" s="1"/>
  <c r="C44" i="3" s="1"/>
  <c r="B5" i="3"/>
  <c r="T6" i="2"/>
  <c r="S6" i="2"/>
  <c r="R6" i="2"/>
  <c r="Q6" i="2"/>
  <c r="G36" i="1" s="1"/>
  <c r="M6" i="2"/>
  <c r="L6" i="2"/>
  <c r="K6" i="2"/>
  <c r="J6" i="2"/>
  <c r="I52" i="1"/>
  <c r="H52" i="1"/>
  <c r="G52" i="1"/>
  <c r="I51" i="1"/>
  <c r="H51" i="1"/>
  <c r="G51" i="1"/>
  <c r="I50" i="1"/>
  <c r="H50" i="1"/>
  <c r="G50" i="1"/>
  <c r="I49" i="1"/>
  <c r="H49" i="1"/>
  <c r="G49" i="1"/>
  <c r="I48" i="1"/>
  <c r="H48" i="1"/>
  <c r="G48" i="1"/>
  <c r="I47" i="1"/>
  <c r="H47" i="1"/>
  <c r="G47" i="1"/>
  <c r="I46" i="1"/>
  <c r="H46" i="1"/>
  <c r="G46" i="1"/>
  <c r="I45" i="1"/>
  <c r="H45" i="1"/>
  <c r="G45" i="1"/>
  <c r="I44" i="1"/>
  <c r="H44" i="1"/>
  <c r="G44" i="1"/>
  <c r="I43" i="1"/>
  <c r="H43" i="1"/>
  <c r="G43" i="1"/>
  <c r="I42" i="1"/>
  <c r="H42" i="1"/>
  <c r="G42" i="1"/>
  <c r="I41" i="1"/>
  <c r="H41" i="1"/>
  <c r="G41" i="1"/>
  <c r="Q36" i="1"/>
  <c r="L36" i="1"/>
  <c r="I36" i="1"/>
  <c r="H36" i="1"/>
  <c r="Q35" i="1"/>
  <c r="L35" i="1"/>
  <c r="I35" i="1"/>
  <c r="H35" i="1"/>
  <c r="G35" i="1"/>
  <c r="Q34" i="1"/>
  <c r="L34" i="1"/>
  <c r="I34" i="1"/>
  <c r="H34" i="1"/>
  <c r="J34" i="1" s="1"/>
  <c r="E34" i="1" s="1"/>
  <c r="N34" i="1" s="1"/>
  <c r="G34" i="1"/>
  <c r="Q33" i="1"/>
  <c r="L33" i="1"/>
  <c r="J33" i="1"/>
  <c r="I33" i="1"/>
  <c r="H33" i="1"/>
  <c r="E33" i="1"/>
  <c r="M33" i="1" s="1"/>
  <c r="Q32" i="1"/>
  <c r="L32" i="1"/>
  <c r="I32" i="1"/>
  <c r="H32" i="1"/>
  <c r="J32" i="1" s="1"/>
  <c r="E32" i="1" s="1"/>
  <c r="Q31" i="1"/>
  <c r="L31" i="1"/>
  <c r="I31" i="1"/>
  <c r="H31" i="1"/>
  <c r="J31" i="1" s="1"/>
  <c r="E31" i="1" s="1"/>
  <c r="G31" i="1"/>
  <c r="Q30" i="1"/>
  <c r="L30" i="1"/>
  <c r="J30" i="1"/>
  <c r="I30" i="1"/>
  <c r="H30" i="1"/>
  <c r="G30" i="1"/>
  <c r="E30" i="1"/>
  <c r="N30" i="1" s="1"/>
  <c r="Q29" i="1"/>
  <c r="L29" i="1"/>
  <c r="I29" i="1"/>
  <c r="H29" i="1"/>
  <c r="Q28" i="1"/>
  <c r="L28" i="1"/>
  <c r="I28" i="1"/>
  <c r="H28" i="1"/>
  <c r="J28" i="1" s="1"/>
  <c r="E28" i="1" s="1"/>
  <c r="G28" i="1"/>
  <c r="V27" i="1"/>
  <c r="T27" i="1"/>
  <c r="S27" i="1"/>
  <c r="Q27" i="1"/>
  <c r="L27" i="1"/>
  <c r="I27" i="1"/>
  <c r="H27" i="1"/>
  <c r="J27" i="1" s="1"/>
  <c r="E27" i="1" s="1"/>
  <c r="G27" i="1"/>
  <c r="T26" i="1"/>
  <c r="S26" i="1"/>
  <c r="V26" i="1" s="1"/>
  <c r="Q26" i="1"/>
  <c r="L26" i="1"/>
  <c r="I26" i="1"/>
  <c r="H26" i="1"/>
  <c r="J26" i="1" s="1"/>
  <c r="E26" i="1" s="1"/>
  <c r="N26" i="1" s="1"/>
  <c r="G26" i="1"/>
  <c r="S25" i="1"/>
  <c r="V25" i="1" s="1"/>
  <c r="Q25" i="1"/>
  <c r="L25" i="1"/>
  <c r="I25" i="1"/>
  <c r="J25" i="1" s="1"/>
  <c r="E25" i="1" s="1"/>
  <c r="H25" i="1"/>
  <c r="G25" i="1"/>
  <c r="V24" i="1"/>
  <c r="S24" i="1"/>
  <c r="Q24" i="1"/>
  <c r="L24" i="1"/>
  <c r="I24" i="1"/>
  <c r="H24" i="1"/>
  <c r="J24" i="1" s="1"/>
  <c r="E24" i="1" s="1"/>
  <c r="G24" i="1"/>
  <c r="Q23" i="1"/>
  <c r="L23" i="1"/>
  <c r="I23" i="1"/>
  <c r="H23" i="1"/>
  <c r="G23" i="1"/>
  <c r="Q22" i="1"/>
  <c r="L22" i="1"/>
  <c r="I22" i="1"/>
  <c r="J22" i="1" s="1"/>
  <c r="E22" i="1" s="1"/>
  <c r="H22" i="1"/>
  <c r="G22" i="1"/>
  <c r="Q21" i="1"/>
  <c r="L21" i="1"/>
  <c r="I21" i="1"/>
  <c r="H21" i="1"/>
  <c r="G21" i="1"/>
  <c r="Q20" i="1"/>
  <c r="L20" i="1"/>
  <c r="I20" i="1"/>
  <c r="H20" i="1"/>
  <c r="G20" i="1"/>
  <c r="Q19" i="1"/>
  <c r="L19" i="1"/>
  <c r="I19" i="1"/>
  <c r="H19" i="1"/>
  <c r="G19" i="1"/>
  <c r="Q18" i="1"/>
  <c r="I18" i="1"/>
  <c r="H18" i="1"/>
  <c r="J18" i="1" s="1"/>
  <c r="E18" i="1" s="1"/>
  <c r="T18" i="1"/>
  <c r="Q17" i="1"/>
  <c r="I17" i="1"/>
  <c r="H17" i="1"/>
  <c r="C13" i="1"/>
  <c r="C12" i="1"/>
  <c r="C11" i="1"/>
  <c r="C10" i="1"/>
  <c r="T6" i="1"/>
  <c r="T4" i="1"/>
  <c r="J17" i="1" l="1"/>
  <c r="E17" i="1" s="1"/>
  <c r="N17" i="1" s="1"/>
  <c r="Q5" i="3"/>
  <c r="J19" i="1"/>
  <c r="E19" i="1" s="1"/>
  <c r="J21" i="1"/>
  <c r="E21" i="1" s="1"/>
  <c r="C14" i="3"/>
  <c r="C36" i="3" s="1"/>
  <c r="H53" i="1"/>
  <c r="T7" i="1" s="1"/>
  <c r="T8" i="1" s="1"/>
  <c r="M5" i="3"/>
  <c r="M56" i="3" s="1"/>
  <c r="J20" i="1"/>
  <c r="E20" i="1" s="1"/>
  <c r="J23" i="1"/>
  <c r="E23" i="1" s="1"/>
  <c r="J29" i="1"/>
  <c r="E29" i="1" s="1"/>
  <c r="E5" i="3"/>
  <c r="E57" i="3" s="1"/>
  <c r="U5" i="3"/>
  <c r="J35" i="1"/>
  <c r="E35" i="1" s="1"/>
  <c r="J36" i="1"/>
  <c r="E36" i="1" s="1"/>
  <c r="G53" i="1"/>
  <c r="T11" i="1" s="1"/>
  <c r="I5" i="3"/>
  <c r="Y5" i="3"/>
  <c r="N19" i="1"/>
  <c r="N27" i="1"/>
  <c r="M27" i="1"/>
  <c r="M21" i="1"/>
  <c r="N21" i="1"/>
  <c r="N31" i="1"/>
  <c r="M31" i="1"/>
  <c r="M29" i="1"/>
  <c r="N28" i="1"/>
  <c r="M28" i="1"/>
  <c r="O30" i="1"/>
  <c r="P30" i="1" s="1"/>
  <c r="M32" i="1"/>
  <c r="N18" i="1"/>
  <c r="M18" i="1"/>
  <c r="M20" i="1"/>
  <c r="N20" i="1"/>
  <c r="N22" i="1"/>
  <c r="M22" i="1"/>
  <c r="N23" i="1"/>
  <c r="M23" i="1"/>
  <c r="N24" i="1"/>
  <c r="M24" i="1"/>
  <c r="M25" i="1"/>
  <c r="N25" i="1"/>
  <c r="O26" i="1"/>
  <c r="P26" i="1" s="1"/>
  <c r="O34" i="1"/>
  <c r="P34" i="1" s="1"/>
  <c r="N35" i="1"/>
  <c r="M35" i="1"/>
  <c r="N36" i="1"/>
  <c r="M36" i="1"/>
  <c r="E56" i="3"/>
  <c r="E55" i="3"/>
  <c r="E26" i="3"/>
  <c r="E48" i="3" s="1"/>
  <c r="E28" i="3"/>
  <c r="E50" i="3" s="1"/>
  <c r="I56" i="3"/>
  <c r="I58" i="3"/>
  <c r="I60" i="3" s="1"/>
  <c r="I54" i="3"/>
  <c r="I53" i="3"/>
  <c r="I59" i="3"/>
  <c r="I57" i="3"/>
  <c r="I55" i="3"/>
  <c r="I27" i="3"/>
  <c r="I49" i="3" s="1"/>
  <c r="I23" i="3"/>
  <c r="I45" i="3" s="1"/>
  <c r="I19" i="3"/>
  <c r="I41" i="3" s="1"/>
  <c r="I26" i="3"/>
  <c r="I48" i="3" s="1"/>
  <c r="I25" i="3"/>
  <c r="I47" i="3" s="1"/>
  <c r="I22" i="3"/>
  <c r="I44" i="3" s="1"/>
  <c r="I18" i="3"/>
  <c r="I40" i="3" s="1"/>
  <c r="M58" i="3"/>
  <c r="M60" i="3" s="1"/>
  <c r="M54" i="3"/>
  <c r="M57" i="3"/>
  <c r="M55" i="3"/>
  <c r="M53" i="3"/>
  <c r="M27" i="3"/>
  <c r="M49" i="3" s="1"/>
  <c r="M19" i="3"/>
  <c r="M41" i="3" s="1"/>
  <c r="M28" i="3"/>
  <c r="M50" i="3" s="1"/>
  <c r="M22" i="3"/>
  <c r="M44" i="3" s="1"/>
  <c r="M26" i="3"/>
  <c r="M48" i="3" s="1"/>
  <c r="M25" i="3"/>
  <c r="M47" i="3" s="1"/>
  <c r="Q56" i="3"/>
  <c r="Q58" i="3"/>
  <c r="Q60" i="3" s="1"/>
  <c r="Q54" i="3"/>
  <c r="Q59" i="3"/>
  <c r="Q53" i="3"/>
  <c r="Q57" i="3"/>
  <c r="Q27" i="3"/>
  <c r="Q49" i="3" s="1"/>
  <c r="Q23" i="3"/>
  <c r="Q45" i="3" s="1"/>
  <c r="Q19" i="3"/>
  <c r="Q41" i="3" s="1"/>
  <c r="Q22" i="3"/>
  <c r="Q44" i="3" s="1"/>
  <c r="Q18" i="3"/>
  <c r="Q40" i="3" s="1"/>
  <c r="Q55" i="3"/>
  <c r="U56" i="3"/>
  <c r="U58" i="3"/>
  <c r="U60" i="3" s="1"/>
  <c r="U54" i="3"/>
  <c r="U57" i="3"/>
  <c r="U55" i="3"/>
  <c r="U53" i="3"/>
  <c r="U27" i="3"/>
  <c r="U49" i="3" s="1"/>
  <c r="U59" i="3"/>
  <c r="U26" i="3"/>
  <c r="U48" i="3" s="1"/>
  <c r="U25" i="3"/>
  <c r="U47" i="3" s="1"/>
  <c r="U23" i="3"/>
  <c r="U45" i="3" s="1"/>
  <c r="U19" i="3"/>
  <c r="U41" i="3" s="1"/>
  <c r="U28" i="3"/>
  <c r="U50" i="3" s="1"/>
  <c r="U22" i="3"/>
  <c r="U44" i="3" s="1"/>
  <c r="U18" i="3"/>
  <c r="U40" i="3" s="1"/>
  <c r="Y56" i="3"/>
  <c r="Y58" i="3"/>
  <c r="Y60" i="3" s="1"/>
  <c r="Y54" i="3"/>
  <c r="Y57" i="3"/>
  <c r="Y53" i="3"/>
  <c r="Y59" i="3"/>
  <c r="Y27" i="3"/>
  <c r="Y49" i="3" s="1"/>
  <c r="Y55" i="3"/>
  <c r="Y24" i="3"/>
  <c r="Y46" i="3" s="1"/>
  <c r="Y23" i="3"/>
  <c r="Y45" i="3" s="1"/>
  <c r="Y19" i="3"/>
  <c r="Y41" i="3" s="1"/>
  <c r="Y26" i="3"/>
  <c r="Y48" i="3" s="1"/>
  <c r="Y25" i="3"/>
  <c r="Y47" i="3" s="1"/>
  <c r="Y22" i="3"/>
  <c r="Y44" i="3" s="1"/>
  <c r="Y18" i="3"/>
  <c r="Y40" i="3" s="1"/>
  <c r="Y21" i="3"/>
  <c r="Y43" i="3" s="1"/>
  <c r="E6" i="3"/>
  <c r="I6" i="3"/>
  <c r="M6" i="3"/>
  <c r="Q6" i="3"/>
  <c r="U6" i="3"/>
  <c r="Y6" i="3"/>
  <c r="E7" i="3"/>
  <c r="I7" i="3"/>
  <c r="M7" i="3"/>
  <c r="Q7" i="3"/>
  <c r="U7" i="3"/>
  <c r="Y7" i="3"/>
  <c r="C10" i="3"/>
  <c r="C32" i="3" s="1"/>
  <c r="E12" i="3"/>
  <c r="E34" i="3" s="1"/>
  <c r="I12" i="3"/>
  <c r="I34" i="3" s="1"/>
  <c r="M12" i="3"/>
  <c r="M34" i="3" s="1"/>
  <c r="Q12" i="3"/>
  <c r="Q34" i="3" s="1"/>
  <c r="U12" i="3"/>
  <c r="U34" i="3" s="1"/>
  <c r="Y12" i="3"/>
  <c r="Y34" i="3" s="1"/>
  <c r="E16" i="3"/>
  <c r="E38" i="3" s="1"/>
  <c r="I16" i="3"/>
  <c r="I38" i="3" s="1"/>
  <c r="M16" i="3"/>
  <c r="M38" i="3" s="1"/>
  <c r="Q16" i="3"/>
  <c r="Q38" i="3" s="1"/>
  <c r="I17" i="3"/>
  <c r="I39" i="3" s="1"/>
  <c r="Q17" i="3"/>
  <c r="Q39" i="3" s="1"/>
  <c r="Y17" i="3"/>
  <c r="Y39" i="3" s="1"/>
  <c r="E20" i="3"/>
  <c r="E42" i="3" s="1"/>
  <c r="M20" i="3"/>
  <c r="M42" i="3" s="1"/>
  <c r="U20" i="3"/>
  <c r="U42" i="3" s="1"/>
  <c r="I21" i="3"/>
  <c r="I43" i="3" s="1"/>
  <c r="Q21" i="3"/>
  <c r="Q43" i="3" s="1"/>
  <c r="I24" i="3"/>
  <c r="I46" i="3" s="1"/>
  <c r="Q25" i="3"/>
  <c r="Q47" i="3" s="1"/>
  <c r="I28" i="3"/>
  <c r="I50" i="3" s="1"/>
  <c r="T25" i="1"/>
  <c r="F5" i="3"/>
  <c r="J5" i="3"/>
  <c r="N5" i="3"/>
  <c r="R5" i="3"/>
  <c r="V5" i="3"/>
  <c r="Z5" i="3"/>
  <c r="E9" i="3"/>
  <c r="E31" i="3" s="1"/>
  <c r="I9" i="3"/>
  <c r="I31" i="3" s="1"/>
  <c r="M9" i="3"/>
  <c r="M31" i="3" s="1"/>
  <c r="Q9" i="3"/>
  <c r="Q31" i="3" s="1"/>
  <c r="U9" i="3"/>
  <c r="U31" i="3" s="1"/>
  <c r="Y9" i="3"/>
  <c r="Y31" i="3" s="1"/>
  <c r="C11" i="3"/>
  <c r="C33" i="3" s="1"/>
  <c r="E13" i="3"/>
  <c r="E35" i="3" s="1"/>
  <c r="I13" i="3"/>
  <c r="I35" i="3" s="1"/>
  <c r="M13" i="3"/>
  <c r="M35" i="3" s="1"/>
  <c r="Q13" i="3"/>
  <c r="Q35" i="3" s="1"/>
  <c r="U13" i="3"/>
  <c r="U35" i="3" s="1"/>
  <c r="Y13" i="3"/>
  <c r="Y35" i="3" s="1"/>
  <c r="C15" i="3"/>
  <c r="C37" i="3" s="1"/>
  <c r="M24" i="3"/>
  <c r="M46" i="3" s="1"/>
  <c r="Q26" i="3"/>
  <c r="Q48" i="3" s="1"/>
  <c r="Q28" i="3"/>
  <c r="Q50" i="3" s="1"/>
  <c r="M26" i="1"/>
  <c r="G29" i="1"/>
  <c r="N29" i="1" s="1"/>
  <c r="M30" i="1"/>
  <c r="G33" i="1"/>
  <c r="N33" i="1" s="1"/>
  <c r="M34" i="1"/>
  <c r="C56" i="3"/>
  <c r="C25" i="3"/>
  <c r="C47" i="3" s="1"/>
  <c r="C27" i="3"/>
  <c r="C49" i="3" s="1"/>
  <c r="C21" i="3"/>
  <c r="C43" i="3" s="1"/>
  <c r="C17" i="3"/>
  <c r="C39" i="3" s="1"/>
  <c r="C24" i="3"/>
  <c r="C46" i="3" s="1"/>
  <c r="C20" i="3"/>
  <c r="C42" i="3" s="1"/>
  <c r="C28" i="3"/>
  <c r="C50" i="3" s="1"/>
  <c r="C26" i="3"/>
  <c r="C48" i="3" s="1"/>
  <c r="C23" i="3"/>
  <c r="C45" i="3" s="1"/>
  <c r="G5" i="3"/>
  <c r="K5" i="3"/>
  <c r="O5" i="3"/>
  <c r="S5" i="3"/>
  <c r="W5" i="3"/>
  <c r="C6" i="3"/>
  <c r="C4" i="3" s="1"/>
  <c r="C7" i="3"/>
  <c r="E10" i="3"/>
  <c r="E32" i="3" s="1"/>
  <c r="I10" i="3"/>
  <c r="I32" i="3" s="1"/>
  <c r="M10" i="3"/>
  <c r="M32" i="3" s="1"/>
  <c r="Q10" i="3"/>
  <c r="Q32" i="3" s="1"/>
  <c r="U10" i="3"/>
  <c r="U32" i="3" s="1"/>
  <c r="Y10" i="3"/>
  <c r="Y32" i="3" s="1"/>
  <c r="C12" i="3"/>
  <c r="C34" i="3" s="1"/>
  <c r="E14" i="3"/>
  <c r="E36" i="3" s="1"/>
  <c r="I14" i="3"/>
  <c r="I36" i="3" s="1"/>
  <c r="M14" i="3"/>
  <c r="M36" i="3" s="1"/>
  <c r="Q14" i="3"/>
  <c r="Q36" i="3" s="1"/>
  <c r="U14" i="3"/>
  <c r="U36" i="3" s="1"/>
  <c r="Y14" i="3"/>
  <c r="Y36" i="3" s="1"/>
  <c r="C16" i="3"/>
  <c r="C38" i="3" s="1"/>
  <c r="Y16" i="3"/>
  <c r="Y38" i="3" s="1"/>
  <c r="E17" i="3"/>
  <c r="E39" i="3" s="1"/>
  <c r="M17" i="3"/>
  <c r="M39" i="3" s="1"/>
  <c r="U17" i="3"/>
  <c r="U39" i="3" s="1"/>
  <c r="C18" i="3"/>
  <c r="C40" i="3" s="1"/>
  <c r="I20" i="3"/>
  <c r="I42" i="3" s="1"/>
  <c r="Q20" i="3"/>
  <c r="Q42" i="3" s="1"/>
  <c r="Y20" i="3"/>
  <c r="Y42" i="3" s="1"/>
  <c r="E21" i="3"/>
  <c r="E43" i="3" s="1"/>
  <c r="M21" i="3"/>
  <c r="M43" i="3" s="1"/>
  <c r="U21" i="3"/>
  <c r="U43" i="3" s="1"/>
  <c r="Q24" i="3"/>
  <c r="Q46" i="3" s="1"/>
  <c r="Y28" i="3"/>
  <c r="Y50" i="3" s="1"/>
  <c r="G32" i="1"/>
  <c r="N32" i="1" s="1"/>
  <c r="E4" i="3"/>
  <c r="I4" i="3"/>
  <c r="M4" i="3"/>
  <c r="Q4" i="3"/>
  <c r="U4" i="3"/>
  <c r="Y4" i="3"/>
  <c r="D5" i="3"/>
  <c r="H5" i="3"/>
  <c r="L5" i="3"/>
  <c r="P5" i="3"/>
  <c r="T5" i="3"/>
  <c r="X5" i="3"/>
  <c r="C9" i="3"/>
  <c r="C31" i="3" s="1"/>
  <c r="E11" i="3"/>
  <c r="E33" i="3" s="1"/>
  <c r="I11" i="3"/>
  <c r="I33" i="3" s="1"/>
  <c r="M11" i="3"/>
  <c r="M33" i="3" s="1"/>
  <c r="Q11" i="3"/>
  <c r="Q33" i="3" s="1"/>
  <c r="U11" i="3"/>
  <c r="U33" i="3" s="1"/>
  <c r="Y11" i="3"/>
  <c r="Y33" i="3" s="1"/>
  <c r="C13" i="3"/>
  <c r="C35" i="3" s="1"/>
  <c r="E15" i="3"/>
  <c r="E37" i="3" s="1"/>
  <c r="I15" i="3"/>
  <c r="I37" i="3" s="1"/>
  <c r="M15" i="3"/>
  <c r="M37" i="3" s="1"/>
  <c r="Q15" i="3"/>
  <c r="Q37" i="3" s="1"/>
  <c r="U15" i="3"/>
  <c r="U37" i="3" s="1"/>
  <c r="Y15" i="3"/>
  <c r="Y37" i="3" s="1"/>
  <c r="U16" i="3"/>
  <c r="U38" i="3" s="1"/>
  <c r="C19" i="3"/>
  <c r="C41" i="3" s="1"/>
  <c r="E24" i="3"/>
  <c r="E46" i="3" s="1"/>
  <c r="U24" i="3"/>
  <c r="U46" i="3" s="1"/>
  <c r="C53" i="3" l="1"/>
  <c r="M17" i="1"/>
  <c r="E37" i="1"/>
  <c r="E18" i="3"/>
  <c r="E40" i="3" s="1"/>
  <c r="E23" i="3"/>
  <c r="E45" i="3" s="1"/>
  <c r="E27" i="3"/>
  <c r="E49" i="3" s="1"/>
  <c r="E54" i="3"/>
  <c r="M18" i="3"/>
  <c r="M40" i="3" s="1"/>
  <c r="M23" i="3"/>
  <c r="M45" i="3" s="1"/>
  <c r="M59" i="3"/>
  <c r="E22" i="3"/>
  <c r="E44" i="3" s="1"/>
  <c r="E25" i="3"/>
  <c r="E47" i="3" s="1"/>
  <c r="E53" i="3"/>
  <c r="E58" i="3"/>
  <c r="E60" i="3" s="1"/>
  <c r="M19" i="1"/>
  <c r="C55" i="3"/>
  <c r="C57" i="3" s="1"/>
  <c r="C54" i="3"/>
  <c r="E19" i="3"/>
  <c r="E41" i="3" s="1"/>
  <c r="E59" i="3"/>
  <c r="O29" i="1"/>
  <c r="P29" i="1" s="1"/>
  <c r="O33" i="1"/>
  <c r="P33" i="1" s="1"/>
  <c r="O32" i="1"/>
  <c r="P32" i="1" s="1"/>
  <c r="O58" i="3"/>
  <c r="O60" i="3" s="1"/>
  <c r="O54" i="3"/>
  <c r="O56" i="3"/>
  <c r="O59" i="3"/>
  <c r="O55" i="3"/>
  <c r="O53" i="3"/>
  <c r="O25" i="3"/>
  <c r="O47" i="3" s="1"/>
  <c r="O57" i="3"/>
  <c r="O27" i="3"/>
  <c r="O49" i="3" s="1"/>
  <c r="O28" i="3"/>
  <c r="O50" i="3" s="1"/>
  <c r="O21" i="3"/>
  <c r="O43" i="3" s="1"/>
  <c r="O17" i="3"/>
  <c r="O39" i="3" s="1"/>
  <c r="O26" i="3"/>
  <c r="O48" i="3" s="1"/>
  <c r="O24" i="3"/>
  <c r="O46" i="3" s="1"/>
  <c r="O20" i="3"/>
  <c r="O42" i="3" s="1"/>
  <c r="O23" i="3"/>
  <c r="O45" i="3" s="1"/>
  <c r="O13" i="3"/>
  <c r="O35" i="3" s="1"/>
  <c r="O9" i="3"/>
  <c r="O31" i="3" s="1"/>
  <c r="O16" i="3"/>
  <c r="O38" i="3" s="1"/>
  <c r="O12" i="3"/>
  <c r="O34" i="3" s="1"/>
  <c r="O7" i="3"/>
  <c r="O6" i="3"/>
  <c r="O19" i="3"/>
  <c r="O41" i="3" s="1"/>
  <c r="O15" i="3"/>
  <c r="O37" i="3" s="1"/>
  <c r="O11" i="3"/>
  <c r="O33" i="3" s="1"/>
  <c r="O4" i="3"/>
  <c r="O22" i="3"/>
  <c r="O44" i="3" s="1"/>
  <c r="O18" i="3"/>
  <c r="O40" i="3" s="1"/>
  <c r="O14" i="3"/>
  <c r="O36" i="3" s="1"/>
  <c r="O10" i="3"/>
  <c r="O32" i="3" s="1"/>
  <c r="Z59" i="3"/>
  <c r="Z55" i="3"/>
  <c r="Z57" i="3"/>
  <c r="Z53" i="3"/>
  <c r="Z58" i="3"/>
  <c r="Z60" i="3" s="1"/>
  <c r="Z56" i="3"/>
  <c r="Z26" i="3"/>
  <c r="Z48" i="3" s="1"/>
  <c r="Z54" i="3"/>
  <c r="Z28" i="3"/>
  <c r="Z50" i="3" s="1"/>
  <c r="Z27" i="3"/>
  <c r="Z49" i="3" s="1"/>
  <c r="Z25" i="3"/>
  <c r="Z47" i="3" s="1"/>
  <c r="Z22" i="3"/>
  <c r="Z44" i="3" s="1"/>
  <c r="Z18" i="3"/>
  <c r="Z40" i="3" s="1"/>
  <c r="Z21" i="3"/>
  <c r="Z43" i="3" s="1"/>
  <c r="Z17" i="3"/>
  <c r="Z39" i="3" s="1"/>
  <c r="Z20" i="3"/>
  <c r="Z42" i="3" s="1"/>
  <c r="Z16" i="3"/>
  <c r="Z38" i="3" s="1"/>
  <c r="Z14" i="3"/>
  <c r="Z36" i="3" s="1"/>
  <c r="Z10" i="3"/>
  <c r="Z32" i="3" s="1"/>
  <c r="Z19" i="3"/>
  <c r="Z41" i="3" s="1"/>
  <c r="Z13" i="3"/>
  <c r="Z35" i="3" s="1"/>
  <c r="Z9" i="3"/>
  <c r="Z31" i="3" s="1"/>
  <c r="Z23" i="3"/>
  <c r="Z45" i="3" s="1"/>
  <c r="Z12" i="3"/>
  <c r="Z34" i="3" s="1"/>
  <c r="Z7" i="3"/>
  <c r="Z6" i="3"/>
  <c r="Z24" i="3"/>
  <c r="Z46" i="3" s="1"/>
  <c r="Z15" i="3"/>
  <c r="Z37" i="3" s="1"/>
  <c r="Z11" i="3"/>
  <c r="Z33" i="3" s="1"/>
  <c r="Z4" i="3"/>
  <c r="J59" i="3"/>
  <c r="J55" i="3"/>
  <c r="J57" i="3"/>
  <c r="J53" i="3"/>
  <c r="J58" i="3"/>
  <c r="J60" i="3" s="1"/>
  <c r="J56" i="3"/>
  <c r="J26" i="3"/>
  <c r="J48" i="3" s="1"/>
  <c r="J28" i="3"/>
  <c r="J50" i="3" s="1"/>
  <c r="J27" i="3"/>
  <c r="J49" i="3" s="1"/>
  <c r="J25" i="3"/>
  <c r="J47" i="3" s="1"/>
  <c r="J22" i="3"/>
  <c r="J44" i="3" s="1"/>
  <c r="J18" i="3"/>
  <c r="J40" i="3" s="1"/>
  <c r="J21" i="3"/>
  <c r="J43" i="3" s="1"/>
  <c r="J17" i="3"/>
  <c r="J39" i="3" s="1"/>
  <c r="J24" i="3"/>
  <c r="J46" i="3" s="1"/>
  <c r="J54" i="3"/>
  <c r="J20" i="3"/>
  <c r="J42" i="3" s="1"/>
  <c r="J14" i="3"/>
  <c r="J36" i="3" s="1"/>
  <c r="J10" i="3"/>
  <c r="J32" i="3" s="1"/>
  <c r="J19" i="3"/>
  <c r="J41" i="3" s="1"/>
  <c r="J13" i="3"/>
  <c r="J35" i="3" s="1"/>
  <c r="J9" i="3"/>
  <c r="J31" i="3" s="1"/>
  <c r="J23" i="3"/>
  <c r="J45" i="3" s="1"/>
  <c r="J16" i="3"/>
  <c r="J38" i="3" s="1"/>
  <c r="J12" i="3"/>
  <c r="J34" i="3" s="1"/>
  <c r="J7" i="3"/>
  <c r="J6" i="3"/>
  <c r="J15" i="3"/>
  <c r="J37" i="3" s="1"/>
  <c r="J11" i="3"/>
  <c r="J33" i="3" s="1"/>
  <c r="J4" i="3"/>
  <c r="O25" i="1"/>
  <c r="P25" i="1" s="1"/>
  <c r="O24" i="1"/>
  <c r="P24" i="1" s="1"/>
  <c r="O22" i="1"/>
  <c r="P22" i="1" s="1"/>
  <c r="O18" i="1"/>
  <c r="P18" i="1" s="1"/>
  <c r="L57" i="3"/>
  <c r="L53" i="3"/>
  <c r="L59" i="3"/>
  <c r="L55" i="3"/>
  <c r="L58" i="3"/>
  <c r="L60" i="3" s="1"/>
  <c r="L56" i="3"/>
  <c r="L54" i="3"/>
  <c r="L28" i="3"/>
  <c r="L50" i="3" s="1"/>
  <c r="L24" i="3"/>
  <c r="L46" i="3" s="1"/>
  <c r="L20" i="3"/>
  <c r="L42" i="3" s="1"/>
  <c r="L23" i="3"/>
  <c r="L45" i="3" s="1"/>
  <c r="L19" i="3"/>
  <c r="L41" i="3" s="1"/>
  <c r="L22" i="3"/>
  <c r="L44" i="3" s="1"/>
  <c r="L25" i="3"/>
  <c r="L47" i="3" s="1"/>
  <c r="L18" i="3"/>
  <c r="L40" i="3" s="1"/>
  <c r="L16" i="3"/>
  <c r="L38" i="3" s="1"/>
  <c r="L12" i="3"/>
  <c r="L34" i="3" s="1"/>
  <c r="L7" i="3"/>
  <c r="L6" i="3"/>
  <c r="L15" i="3"/>
  <c r="L37" i="3" s="1"/>
  <c r="L11" i="3"/>
  <c r="L33" i="3" s="1"/>
  <c r="L4" i="3"/>
  <c r="L27" i="3"/>
  <c r="L49" i="3" s="1"/>
  <c r="L21" i="3"/>
  <c r="L43" i="3" s="1"/>
  <c r="L17" i="3"/>
  <c r="L39" i="3" s="1"/>
  <c r="L14" i="3"/>
  <c r="L36" i="3" s="1"/>
  <c r="L10" i="3"/>
  <c r="L32" i="3" s="1"/>
  <c r="L26" i="3"/>
  <c r="L48" i="3" s="1"/>
  <c r="L13" i="3"/>
  <c r="L35" i="3" s="1"/>
  <c r="L9" i="3"/>
  <c r="L31" i="3" s="1"/>
  <c r="X57" i="3"/>
  <c r="X53" i="3"/>
  <c r="X59" i="3"/>
  <c r="X55" i="3"/>
  <c r="X58" i="3"/>
  <c r="X60" i="3" s="1"/>
  <c r="X54" i="3"/>
  <c r="X28" i="3"/>
  <c r="X50" i="3" s="1"/>
  <c r="X24" i="3"/>
  <c r="X46" i="3" s="1"/>
  <c r="X20" i="3"/>
  <c r="X42" i="3" s="1"/>
  <c r="X16" i="3"/>
  <c r="X38" i="3" s="1"/>
  <c r="X56" i="3"/>
  <c r="X27" i="3"/>
  <c r="X49" i="3" s="1"/>
  <c r="X23" i="3"/>
  <c r="X45" i="3" s="1"/>
  <c r="X19" i="3"/>
  <c r="X41" i="3" s="1"/>
  <c r="X26" i="3"/>
  <c r="X48" i="3" s="1"/>
  <c r="X25" i="3"/>
  <c r="X47" i="3" s="1"/>
  <c r="X22" i="3"/>
  <c r="X44" i="3" s="1"/>
  <c r="X21" i="3"/>
  <c r="X43" i="3" s="1"/>
  <c r="X17" i="3"/>
  <c r="X39" i="3" s="1"/>
  <c r="X12" i="3"/>
  <c r="X34" i="3" s="1"/>
  <c r="X7" i="3"/>
  <c r="X6" i="3"/>
  <c r="X15" i="3"/>
  <c r="X37" i="3" s="1"/>
  <c r="X11" i="3"/>
  <c r="X33" i="3" s="1"/>
  <c r="X4" i="3"/>
  <c r="X18" i="3"/>
  <c r="X40" i="3" s="1"/>
  <c r="X14" i="3"/>
  <c r="X36" i="3" s="1"/>
  <c r="X10" i="3"/>
  <c r="X32" i="3" s="1"/>
  <c r="X13" i="3"/>
  <c r="X35" i="3" s="1"/>
  <c r="X9" i="3"/>
  <c r="X31" i="3" s="1"/>
  <c r="H57" i="3"/>
  <c r="H53" i="3"/>
  <c r="H59" i="3"/>
  <c r="H55" i="3"/>
  <c r="H58" i="3"/>
  <c r="H60" i="3" s="1"/>
  <c r="H54" i="3"/>
  <c r="H28" i="3"/>
  <c r="H50" i="3" s="1"/>
  <c r="H56" i="3"/>
  <c r="H24" i="3"/>
  <c r="H46" i="3" s="1"/>
  <c r="H20" i="3"/>
  <c r="H42" i="3" s="1"/>
  <c r="H27" i="3"/>
  <c r="H49" i="3" s="1"/>
  <c r="H23" i="3"/>
  <c r="H45" i="3" s="1"/>
  <c r="H19" i="3"/>
  <c r="H41" i="3" s="1"/>
  <c r="H26" i="3"/>
  <c r="H48" i="3" s="1"/>
  <c r="H25" i="3"/>
  <c r="H47" i="3" s="1"/>
  <c r="H22" i="3"/>
  <c r="H44" i="3" s="1"/>
  <c r="H21" i="3"/>
  <c r="H43" i="3" s="1"/>
  <c r="H17" i="3"/>
  <c r="H39" i="3" s="1"/>
  <c r="H16" i="3"/>
  <c r="H38" i="3" s="1"/>
  <c r="H12" i="3"/>
  <c r="H34" i="3" s="1"/>
  <c r="H7" i="3"/>
  <c r="H6" i="3"/>
  <c r="H15" i="3"/>
  <c r="H37" i="3" s="1"/>
  <c r="H11" i="3"/>
  <c r="H33" i="3" s="1"/>
  <c r="H4" i="3"/>
  <c r="H18" i="3"/>
  <c r="H40" i="3" s="1"/>
  <c r="H14" i="3"/>
  <c r="H36" i="3" s="1"/>
  <c r="H10" i="3"/>
  <c r="H32" i="3" s="1"/>
  <c r="H13" i="3"/>
  <c r="H35" i="3" s="1"/>
  <c r="H9" i="3"/>
  <c r="H31" i="3" s="1"/>
  <c r="K58" i="3"/>
  <c r="K60" i="3" s="1"/>
  <c r="K54" i="3"/>
  <c r="K56" i="3"/>
  <c r="K59" i="3"/>
  <c r="K57" i="3"/>
  <c r="K55" i="3"/>
  <c r="K25" i="3"/>
  <c r="K47" i="3" s="1"/>
  <c r="K53" i="3"/>
  <c r="K27" i="3"/>
  <c r="K49" i="3" s="1"/>
  <c r="K26" i="3"/>
  <c r="K48" i="3" s="1"/>
  <c r="K21" i="3"/>
  <c r="K43" i="3" s="1"/>
  <c r="K17" i="3"/>
  <c r="K39" i="3" s="1"/>
  <c r="K24" i="3"/>
  <c r="K46" i="3" s="1"/>
  <c r="K20" i="3"/>
  <c r="K42" i="3" s="1"/>
  <c r="K28" i="3"/>
  <c r="K50" i="3" s="1"/>
  <c r="K23" i="3"/>
  <c r="K45" i="3" s="1"/>
  <c r="K22" i="3"/>
  <c r="K44" i="3" s="1"/>
  <c r="K19" i="3"/>
  <c r="K41" i="3" s="1"/>
  <c r="K13" i="3"/>
  <c r="K35" i="3" s="1"/>
  <c r="K9" i="3"/>
  <c r="K31" i="3" s="1"/>
  <c r="K18" i="3"/>
  <c r="K40" i="3" s="1"/>
  <c r="K16" i="3"/>
  <c r="K38" i="3" s="1"/>
  <c r="K12" i="3"/>
  <c r="K34" i="3" s="1"/>
  <c r="K7" i="3"/>
  <c r="K6" i="3"/>
  <c r="K15" i="3"/>
  <c r="K37" i="3" s="1"/>
  <c r="K11" i="3"/>
  <c r="K33" i="3" s="1"/>
  <c r="K4" i="3"/>
  <c r="K14" i="3"/>
  <c r="K36" i="3" s="1"/>
  <c r="K10" i="3"/>
  <c r="K32" i="3" s="1"/>
  <c r="V59" i="3"/>
  <c r="V55" i="3"/>
  <c r="V57" i="3"/>
  <c r="V53" i="3"/>
  <c r="V56" i="3"/>
  <c r="V58" i="3"/>
  <c r="V60" i="3" s="1"/>
  <c r="V54" i="3"/>
  <c r="V26" i="3"/>
  <c r="V48" i="3" s="1"/>
  <c r="V28" i="3"/>
  <c r="V50" i="3" s="1"/>
  <c r="V22" i="3"/>
  <c r="V44" i="3" s="1"/>
  <c r="V18" i="3"/>
  <c r="V40" i="3" s="1"/>
  <c r="V21" i="3"/>
  <c r="V43" i="3" s="1"/>
  <c r="V17" i="3"/>
  <c r="V39" i="3" s="1"/>
  <c r="V27" i="3"/>
  <c r="V49" i="3" s="1"/>
  <c r="V24" i="3"/>
  <c r="V46" i="3" s="1"/>
  <c r="V14" i="3"/>
  <c r="V36" i="3" s="1"/>
  <c r="V10" i="3"/>
  <c r="V32" i="3" s="1"/>
  <c r="V13" i="3"/>
  <c r="V35" i="3" s="1"/>
  <c r="V9" i="3"/>
  <c r="V31" i="3" s="1"/>
  <c r="V25" i="3"/>
  <c r="V47" i="3" s="1"/>
  <c r="V20" i="3"/>
  <c r="V42" i="3" s="1"/>
  <c r="V12" i="3"/>
  <c r="V34" i="3" s="1"/>
  <c r="V7" i="3"/>
  <c r="V6" i="3"/>
  <c r="V23" i="3"/>
  <c r="V45" i="3" s="1"/>
  <c r="V19" i="3"/>
  <c r="V41" i="3" s="1"/>
  <c r="V16" i="3"/>
  <c r="V38" i="3" s="1"/>
  <c r="V15" i="3"/>
  <c r="V37" i="3" s="1"/>
  <c r="V11" i="3"/>
  <c r="V33" i="3" s="1"/>
  <c r="V4" i="3"/>
  <c r="F59" i="3"/>
  <c r="F55" i="3"/>
  <c r="F57" i="3"/>
  <c r="F53" i="3"/>
  <c r="F56" i="3"/>
  <c r="F58" i="3"/>
  <c r="F60" i="3" s="1"/>
  <c r="F54" i="3"/>
  <c r="F26" i="3"/>
  <c r="F48" i="3" s="1"/>
  <c r="F28" i="3"/>
  <c r="F50" i="3" s="1"/>
  <c r="F22" i="3"/>
  <c r="F44" i="3" s="1"/>
  <c r="F18" i="3"/>
  <c r="F40" i="3" s="1"/>
  <c r="F21" i="3"/>
  <c r="F43" i="3" s="1"/>
  <c r="F17" i="3"/>
  <c r="F39" i="3" s="1"/>
  <c r="F27" i="3"/>
  <c r="F49" i="3" s="1"/>
  <c r="F24" i="3"/>
  <c r="F46" i="3" s="1"/>
  <c r="F14" i="3"/>
  <c r="F36" i="3" s="1"/>
  <c r="F10" i="3"/>
  <c r="F32" i="3" s="1"/>
  <c r="F25" i="3"/>
  <c r="F47" i="3" s="1"/>
  <c r="F13" i="3"/>
  <c r="F35" i="3" s="1"/>
  <c r="F9" i="3"/>
  <c r="F31" i="3" s="1"/>
  <c r="F20" i="3"/>
  <c r="F42" i="3" s="1"/>
  <c r="F16" i="3"/>
  <c r="F38" i="3" s="1"/>
  <c r="F12" i="3"/>
  <c r="F34" i="3" s="1"/>
  <c r="F7" i="3"/>
  <c r="F6" i="3"/>
  <c r="F23" i="3"/>
  <c r="F45" i="3" s="1"/>
  <c r="F19" i="3"/>
  <c r="F41" i="3" s="1"/>
  <c r="F15" i="3"/>
  <c r="F37" i="3" s="1"/>
  <c r="F11" i="3"/>
  <c r="F33" i="3" s="1"/>
  <c r="F4" i="3"/>
  <c r="O36" i="1"/>
  <c r="P36" i="1" s="1"/>
  <c r="O20" i="1"/>
  <c r="P20" i="1" s="1"/>
  <c r="N37" i="1"/>
  <c r="O17" i="1"/>
  <c r="P17" i="1" s="1"/>
  <c r="O27" i="1"/>
  <c r="P27" i="1" s="1"/>
  <c r="T57" i="3"/>
  <c r="T53" i="3"/>
  <c r="T59" i="3"/>
  <c r="T55" i="3"/>
  <c r="T58" i="3"/>
  <c r="T60" i="3" s="1"/>
  <c r="T56" i="3"/>
  <c r="T54" i="3"/>
  <c r="T28" i="3"/>
  <c r="T50" i="3" s="1"/>
  <c r="T24" i="3"/>
  <c r="T46" i="3" s="1"/>
  <c r="T20" i="3"/>
  <c r="T42" i="3" s="1"/>
  <c r="T16" i="3"/>
  <c r="T38" i="3" s="1"/>
  <c r="T26" i="3"/>
  <c r="T48" i="3" s="1"/>
  <c r="T25" i="3"/>
  <c r="T47" i="3" s="1"/>
  <c r="T23" i="3"/>
  <c r="T45" i="3" s="1"/>
  <c r="T19" i="3"/>
  <c r="T41" i="3" s="1"/>
  <c r="T22" i="3"/>
  <c r="T44" i="3" s="1"/>
  <c r="T18" i="3"/>
  <c r="T40" i="3" s="1"/>
  <c r="T12" i="3"/>
  <c r="T34" i="3" s="1"/>
  <c r="T7" i="3"/>
  <c r="T6" i="3"/>
  <c r="T27" i="3"/>
  <c r="T49" i="3" s="1"/>
  <c r="T15" i="3"/>
  <c r="T37" i="3" s="1"/>
  <c r="T11" i="3"/>
  <c r="T33" i="3" s="1"/>
  <c r="T4" i="3"/>
  <c r="T21" i="3"/>
  <c r="T43" i="3" s="1"/>
  <c r="T17" i="3"/>
  <c r="T39" i="3" s="1"/>
  <c r="T14" i="3"/>
  <c r="T36" i="3" s="1"/>
  <c r="T10" i="3"/>
  <c r="T32" i="3" s="1"/>
  <c r="T13" i="3"/>
  <c r="T35" i="3" s="1"/>
  <c r="T9" i="3"/>
  <c r="T31" i="3" s="1"/>
  <c r="D56" i="3"/>
  <c r="D28" i="3"/>
  <c r="D50" i="3" s="1"/>
  <c r="D24" i="3"/>
  <c r="D46" i="3" s="1"/>
  <c r="D20" i="3"/>
  <c r="D42" i="3" s="1"/>
  <c r="D26" i="3"/>
  <c r="D48" i="3" s="1"/>
  <c r="D25" i="3"/>
  <c r="D47" i="3" s="1"/>
  <c r="D23" i="3"/>
  <c r="D45" i="3" s="1"/>
  <c r="D19" i="3"/>
  <c r="D41" i="3" s="1"/>
  <c r="D22" i="3"/>
  <c r="D44" i="3" s="1"/>
  <c r="D18" i="3"/>
  <c r="D40" i="3" s="1"/>
  <c r="D16" i="3"/>
  <c r="D38" i="3" s="1"/>
  <c r="D12" i="3"/>
  <c r="D34" i="3" s="1"/>
  <c r="D7" i="3"/>
  <c r="D6" i="3"/>
  <c r="D15" i="3"/>
  <c r="D37" i="3" s="1"/>
  <c r="D11" i="3"/>
  <c r="D33" i="3" s="1"/>
  <c r="D4" i="3"/>
  <c r="B10" i="1" s="1"/>
  <c r="D21" i="3"/>
  <c r="D43" i="3" s="1"/>
  <c r="D17" i="3"/>
  <c r="D39" i="3" s="1"/>
  <c r="D14" i="3"/>
  <c r="D36" i="3" s="1"/>
  <c r="D10" i="3"/>
  <c r="D32" i="3" s="1"/>
  <c r="D27" i="3"/>
  <c r="D49" i="3" s="1"/>
  <c r="D13" i="3"/>
  <c r="D35" i="3" s="1"/>
  <c r="D9" i="3"/>
  <c r="D31" i="3" s="1"/>
  <c r="W58" i="3"/>
  <c r="W60" i="3" s="1"/>
  <c r="W54" i="3"/>
  <c r="W56" i="3"/>
  <c r="W59" i="3"/>
  <c r="W55" i="3"/>
  <c r="W53" i="3"/>
  <c r="W57" i="3"/>
  <c r="W25" i="3"/>
  <c r="W47" i="3" s="1"/>
  <c r="W27" i="3"/>
  <c r="W49" i="3" s="1"/>
  <c r="W28" i="3"/>
  <c r="W50" i="3" s="1"/>
  <c r="W21" i="3"/>
  <c r="W43" i="3" s="1"/>
  <c r="W17" i="3"/>
  <c r="W39" i="3" s="1"/>
  <c r="W24" i="3"/>
  <c r="W46" i="3" s="1"/>
  <c r="W20" i="3"/>
  <c r="W42" i="3" s="1"/>
  <c r="W23" i="3"/>
  <c r="W45" i="3" s="1"/>
  <c r="W13" i="3"/>
  <c r="W35" i="3" s="1"/>
  <c r="W9" i="3"/>
  <c r="W31" i="3" s="1"/>
  <c r="W26" i="3"/>
  <c r="W48" i="3" s="1"/>
  <c r="W22" i="3"/>
  <c r="W44" i="3" s="1"/>
  <c r="W12" i="3"/>
  <c r="W34" i="3" s="1"/>
  <c r="W7" i="3"/>
  <c r="W6" i="3"/>
  <c r="W19" i="3"/>
  <c r="W41" i="3" s="1"/>
  <c r="W16" i="3"/>
  <c r="W38" i="3" s="1"/>
  <c r="W15" i="3"/>
  <c r="W37" i="3" s="1"/>
  <c r="W11" i="3"/>
  <c r="W33" i="3" s="1"/>
  <c r="W4" i="3"/>
  <c r="W18" i="3"/>
  <c r="W40" i="3" s="1"/>
  <c r="W14" i="3"/>
  <c r="W36" i="3" s="1"/>
  <c r="W10" i="3"/>
  <c r="W32" i="3" s="1"/>
  <c r="G58" i="3"/>
  <c r="G60" i="3" s="1"/>
  <c r="G54" i="3"/>
  <c r="G56" i="3"/>
  <c r="G59" i="3"/>
  <c r="G55" i="3"/>
  <c r="G53" i="3"/>
  <c r="G25" i="3"/>
  <c r="G47" i="3" s="1"/>
  <c r="G57" i="3"/>
  <c r="G27" i="3"/>
  <c r="G49" i="3" s="1"/>
  <c r="G28" i="3"/>
  <c r="G50" i="3" s="1"/>
  <c r="G21" i="3"/>
  <c r="G43" i="3" s="1"/>
  <c r="G17" i="3"/>
  <c r="G39" i="3" s="1"/>
  <c r="G24" i="3"/>
  <c r="G46" i="3" s="1"/>
  <c r="G20" i="3"/>
  <c r="G42" i="3" s="1"/>
  <c r="G23" i="3"/>
  <c r="G45" i="3" s="1"/>
  <c r="G26" i="3"/>
  <c r="G48" i="3" s="1"/>
  <c r="G13" i="3"/>
  <c r="G35" i="3" s="1"/>
  <c r="G9" i="3"/>
  <c r="G31" i="3" s="1"/>
  <c r="G22" i="3"/>
  <c r="G44" i="3" s="1"/>
  <c r="G16" i="3"/>
  <c r="G38" i="3" s="1"/>
  <c r="G12" i="3"/>
  <c r="G34" i="3" s="1"/>
  <c r="G7" i="3"/>
  <c r="G6" i="3"/>
  <c r="G19" i="3"/>
  <c r="G41" i="3" s="1"/>
  <c r="G15" i="3"/>
  <c r="G37" i="3" s="1"/>
  <c r="G11" i="3"/>
  <c r="G33" i="3" s="1"/>
  <c r="G4" i="3"/>
  <c r="G18" i="3"/>
  <c r="G40" i="3" s="1"/>
  <c r="G14" i="3"/>
  <c r="G36" i="3" s="1"/>
  <c r="G10" i="3"/>
  <c r="G32" i="3" s="1"/>
  <c r="R59" i="3"/>
  <c r="R55" i="3"/>
  <c r="R57" i="3"/>
  <c r="R53" i="3"/>
  <c r="R58" i="3"/>
  <c r="R60" i="3" s="1"/>
  <c r="R56" i="3"/>
  <c r="R26" i="3"/>
  <c r="R48" i="3" s="1"/>
  <c r="R54" i="3"/>
  <c r="R28" i="3"/>
  <c r="R50" i="3" s="1"/>
  <c r="R27" i="3"/>
  <c r="R49" i="3" s="1"/>
  <c r="R22" i="3"/>
  <c r="R44" i="3" s="1"/>
  <c r="R18" i="3"/>
  <c r="R40" i="3" s="1"/>
  <c r="R21" i="3"/>
  <c r="R43" i="3" s="1"/>
  <c r="R17" i="3"/>
  <c r="R39" i="3" s="1"/>
  <c r="R25" i="3"/>
  <c r="R47" i="3" s="1"/>
  <c r="R24" i="3"/>
  <c r="R46" i="3" s="1"/>
  <c r="R23" i="3"/>
  <c r="R45" i="3" s="1"/>
  <c r="R20" i="3"/>
  <c r="R42" i="3" s="1"/>
  <c r="R14" i="3"/>
  <c r="R36" i="3" s="1"/>
  <c r="R10" i="3"/>
  <c r="R32" i="3" s="1"/>
  <c r="R19" i="3"/>
  <c r="R41" i="3" s="1"/>
  <c r="R13" i="3"/>
  <c r="R35" i="3" s="1"/>
  <c r="R9" i="3"/>
  <c r="R31" i="3" s="1"/>
  <c r="R16" i="3"/>
  <c r="R38" i="3" s="1"/>
  <c r="R12" i="3"/>
  <c r="R34" i="3" s="1"/>
  <c r="R7" i="3"/>
  <c r="R6" i="3"/>
  <c r="R15" i="3"/>
  <c r="R37" i="3" s="1"/>
  <c r="R11" i="3"/>
  <c r="R33" i="3" s="1"/>
  <c r="R4" i="3"/>
  <c r="O23" i="1"/>
  <c r="P23" i="1" s="1"/>
  <c r="O28" i="1"/>
  <c r="P28" i="1" s="1"/>
  <c r="O31" i="1"/>
  <c r="P31" i="1" s="1"/>
  <c r="O21" i="1"/>
  <c r="P21" i="1" s="1"/>
  <c r="P57" i="3"/>
  <c r="P53" i="3"/>
  <c r="P59" i="3"/>
  <c r="P55" i="3"/>
  <c r="P58" i="3"/>
  <c r="P60" i="3" s="1"/>
  <c r="P54" i="3"/>
  <c r="P56" i="3"/>
  <c r="P28" i="3"/>
  <c r="P50" i="3" s="1"/>
  <c r="P26" i="3"/>
  <c r="P48" i="3" s="1"/>
  <c r="P25" i="3"/>
  <c r="P47" i="3" s="1"/>
  <c r="P24" i="3"/>
  <c r="P46" i="3" s="1"/>
  <c r="P20" i="3"/>
  <c r="P42" i="3" s="1"/>
  <c r="P27" i="3"/>
  <c r="P49" i="3" s="1"/>
  <c r="P23" i="3"/>
  <c r="P45" i="3" s="1"/>
  <c r="P19" i="3"/>
  <c r="P41" i="3" s="1"/>
  <c r="P22" i="3"/>
  <c r="P44" i="3" s="1"/>
  <c r="P21" i="3"/>
  <c r="P43" i="3" s="1"/>
  <c r="P17" i="3"/>
  <c r="P39" i="3" s="1"/>
  <c r="P16" i="3"/>
  <c r="P38" i="3" s="1"/>
  <c r="P12" i="3"/>
  <c r="P34" i="3" s="1"/>
  <c r="P7" i="3"/>
  <c r="P6" i="3"/>
  <c r="P15" i="3"/>
  <c r="P37" i="3" s="1"/>
  <c r="P11" i="3"/>
  <c r="P33" i="3" s="1"/>
  <c r="P4" i="3"/>
  <c r="P18" i="3"/>
  <c r="P40" i="3" s="1"/>
  <c r="P14" i="3"/>
  <c r="P36" i="3" s="1"/>
  <c r="P10" i="3"/>
  <c r="P32" i="3" s="1"/>
  <c r="P13" i="3"/>
  <c r="P35" i="3" s="1"/>
  <c r="P9" i="3"/>
  <c r="P31" i="3" s="1"/>
  <c r="S58" i="3"/>
  <c r="S60" i="3" s="1"/>
  <c r="S54" i="3"/>
  <c r="S56" i="3"/>
  <c r="S59" i="3"/>
  <c r="S57" i="3"/>
  <c r="S55" i="3"/>
  <c r="S25" i="3"/>
  <c r="S47" i="3" s="1"/>
  <c r="S53" i="3"/>
  <c r="S27" i="3"/>
  <c r="S49" i="3" s="1"/>
  <c r="S21" i="3"/>
  <c r="S43" i="3" s="1"/>
  <c r="S17" i="3"/>
  <c r="S39" i="3" s="1"/>
  <c r="S24" i="3"/>
  <c r="S46" i="3" s="1"/>
  <c r="S20" i="3"/>
  <c r="S42" i="3" s="1"/>
  <c r="S28" i="3"/>
  <c r="S50" i="3" s="1"/>
  <c r="S26" i="3"/>
  <c r="S48" i="3" s="1"/>
  <c r="S23" i="3"/>
  <c r="S45" i="3" s="1"/>
  <c r="S19" i="3"/>
  <c r="S41" i="3" s="1"/>
  <c r="S13" i="3"/>
  <c r="S35" i="3" s="1"/>
  <c r="S9" i="3"/>
  <c r="S31" i="3" s="1"/>
  <c r="S18" i="3"/>
  <c r="S40" i="3" s="1"/>
  <c r="S16" i="3"/>
  <c r="S38" i="3" s="1"/>
  <c r="S12" i="3"/>
  <c r="S34" i="3" s="1"/>
  <c r="S7" i="3"/>
  <c r="S6" i="3"/>
  <c r="S22" i="3"/>
  <c r="S44" i="3" s="1"/>
  <c r="S15" i="3"/>
  <c r="S37" i="3" s="1"/>
  <c r="S11" i="3"/>
  <c r="S33" i="3" s="1"/>
  <c r="S4" i="3"/>
  <c r="S14" i="3"/>
  <c r="S36" i="3" s="1"/>
  <c r="S10" i="3"/>
  <c r="S32" i="3" s="1"/>
  <c r="N59" i="3"/>
  <c r="N55" i="3"/>
  <c r="N57" i="3"/>
  <c r="N53" i="3"/>
  <c r="N56" i="3"/>
  <c r="N54" i="3"/>
  <c r="N26" i="3"/>
  <c r="N48" i="3" s="1"/>
  <c r="N28" i="3"/>
  <c r="N50" i="3" s="1"/>
  <c r="N58" i="3"/>
  <c r="N22" i="3"/>
  <c r="N44" i="3" s="1"/>
  <c r="N18" i="3"/>
  <c r="N40" i="3" s="1"/>
  <c r="N25" i="3"/>
  <c r="N47" i="3" s="1"/>
  <c r="N21" i="3"/>
  <c r="N43" i="3" s="1"/>
  <c r="N17" i="3"/>
  <c r="N39" i="3" s="1"/>
  <c r="N27" i="3"/>
  <c r="N49" i="3" s="1"/>
  <c r="N24" i="3"/>
  <c r="N46" i="3" s="1"/>
  <c r="N14" i="3"/>
  <c r="N36" i="3" s="1"/>
  <c r="N10" i="3"/>
  <c r="N32" i="3" s="1"/>
  <c r="N23" i="3"/>
  <c r="N45" i="3" s="1"/>
  <c r="N13" i="3"/>
  <c r="N35" i="3" s="1"/>
  <c r="N9" i="3"/>
  <c r="N31" i="3" s="1"/>
  <c r="N20" i="3"/>
  <c r="N42" i="3" s="1"/>
  <c r="N16" i="3"/>
  <c r="N38" i="3" s="1"/>
  <c r="N12" i="3"/>
  <c r="N34" i="3" s="1"/>
  <c r="N7" i="3"/>
  <c r="N6" i="3"/>
  <c r="N19" i="3"/>
  <c r="N41" i="3" s="1"/>
  <c r="N15" i="3"/>
  <c r="N37" i="3" s="1"/>
  <c r="N11" i="3"/>
  <c r="N33" i="3" s="1"/>
  <c r="N4" i="3"/>
  <c r="O35" i="1"/>
  <c r="P35" i="1" s="1"/>
  <c r="M37" i="1"/>
  <c r="O19" i="1"/>
  <c r="P19" i="1" s="1"/>
  <c r="T24" i="1" l="1"/>
  <c r="D53" i="3"/>
  <c r="AA53" i="3" s="1"/>
  <c r="D54" i="3"/>
  <c r="AA54" i="3" s="1"/>
  <c r="T5" i="1"/>
  <c r="T20" i="1"/>
  <c r="A3" i="3"/>
  <c r="C58" i="3"/>
  <c r="D58" i="3"/>
  <c r="D55" i="3"/>
  <c r="D57" i="3" s="1"/>
  <c r="AA57" i="3" s="1"/>
  <c r="AA56" i="3"/>
  <c r="T15" i="1"/>
  <c r="T9" i="1"/>
  <c r="N60" i="3"/>
  <c r="P37" i="1"/>
  <c r="O37" i="1"/>
  <c r="T10" i="1" s="1"/>
  <c r="AA55" i="3" l="1"/>
  <c r="C59" i="3"/>
  <c r="C60" i="3" s="1"/>
  <c r="T12" i="1"/>
  <c r="T13" i="1" s="1"/>
  <c r="T14" i="1" s="1"/>
  <c r="T16" i="1" s="1"/>
  <c r="AA58" i="3"/>
  <c r="D59" i="3"/>
  <c r="D60" i="3" s="1"/>
  <c r="U26" i="1"/>
  <c r="U27" i="1"/>
  <c r="U24" i="1"/>
  <c r="U25" i="1"/>
  <c r="D62" i="3" l="1"/>
  <c r="C62" i="3"/>
  <c r="AA59" i="3"/>
  <c r="AA60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1" authorId="0" shapeId="0" xr:uid="{00000000-0006-0000-0000-000001000000}">
      <text>
        <r>
          <rPr>
            <sz val="10"/>
            <rFont val="Arial"/>
            <family val="2"/>
          </rPr>
          <t>Burden % values on Settings are placeholders; replace with SmarTek21 actuals. GM floors US 35% / India 50% stated by Kanna. US holidays = federal observed 2026–27; India = national days only.</t>
        </r>
      </text>
    </comment>
  </commentList>
</comments>
</file>

<file path=xl/sharedStrings.xml><?xml version="1.0" encoding="utf-8"?>
<sst xmlns="http://schemas.openxmlformats.org/spreadsheetml/2006/main" count="163" uniqueCount="136">
  <si>
    <t>Cost margin sheet</t>
  </si>
  <si>
    <t>Yellow = inputs (blue text). Grey = calculated. * = required. Pick the engagement type first — it decides how revenue is counted.</t>
  </si>
  <si>
    <t>Project summary</t>
  </si>
  <si>
    <t>Engagement type *  (pick first)</t>
  </si>
  <si>
    <t>Fixed cost / Assessment → fill Total project price. MSP → fill Monthly fee. Time &amp; materials → bill rates on each row are used. Fields not needed for the chosen type turn grey.</t>
  </si>
  <si>
    <t>Engagement type</t>
  </si>
  <si>
    <t>Project name</t>
  </si>
  <si>
    <t>Duration (months)</t>
  </si>
  <si>
    <t>Client</t>
  </si>
  <si>
    <t>Project revenue</t>
  </si>
  <si>
    <t>Currency</t>
  </si>
  <si>
    <t>USD</t>
  </si>
  <si>
    <t>Pass-through expenses billed to client</t>
  </si>
  <si>
    <t>Project start *</t>
  </si>
  <si>
    <t>Total revenue</t>
  </si>
  <si>
    <t>Project end *</t>
  </si>
  <si>
    <t>Labour cost</t>
  </si>
  <si>
    <t>Duration (months, partial months by days)</t>
  </si>
  <si>
    <t>Burden cost</t>
  </si>
  <si>
    <t>Total project price *  (Fixed cost / Assessment)</t>
  </si>
  <si>
    <t>Additional costs</t>
  </si>
  <si>
    <t>Monthly fee *  (MSP)</t>
  </si>
  <si>
    <t>Total cost</t>
  </si>
  <si>
    <t>Additional costs on this project? *  (Y/N)</t>
  </si>
  <si>
    <t>Gross margin $</t>
  </si>
  <si>
    <t>Gross margin %</t>
  </si>
  <si>
    <t>Staffing — one row per person. To remove a person, select that row's yellow cells and press Delete; a row with no Role is ignored. (Rows can't be deleted — the Monthly tab maps to them.)</t>
  </si>
  <si>
    <t>Target GM % (blended floor)</t>
  </si>
  <si>
    <t>Role *</t>
  </si>
  <si>
    <t>Seniority *</t>
  </si>
  <si>
    <t>Location *</t>
  </si>
  <si>
    <t>Utilization %</t>
  </si>
  <si>
    <t>Bill rate  (what we CHARGE the client per hour — T&amp;M only)</t>
  </si>
  <si>
    <t>Working days</t>
  </si>
  <si>
    <t>Hours override (optional)</t>
  </si>
  <si>
    <t>Burden %</t>
  </si>
  <si>
    <t>Labour at bill rate  (T&amp;M revenue)</t>
  </si>
  <si>
    <t>Labour cost  (hours × cost/hr)</t>
  </si>
  <si>
    <t>Loaded cost  (labour + burden)</t>
  </si>
  <si>
    <t>GM floor %</t>
  </si>
  <si>
    <t>Status</t>
  </si>
  <si>
    <t>Missing inputs</t>
  </si>
  <si>
    <t>Monthly view</t>
  </si>
  <si>
    <t>Labour by location</t>
  </si>
  <si>
    <t>Location</t>
  </si>
  <si>
    <t>Loaded cost</t>
  </si>
  <si>
    <t>Share of labour</t>
  </si>
  <si>
    <t>Floor</t>
  </si>
  <si>
    <t>How to use</t>
  </si>
  <si>
    <t>1. Fill the project block: engagement type, dates, and the price (Fixed cost / Assessment) or monthly fee (MSP). Duration is exact — Sep 7 to Oct 5 is 0.97 months (0 months 29 days). Partial months count by their days, so MSP fees and monthly costs are prorated.</t>
  </si>
  <si>
    <t>2. Say Y or N to additional costs. If Y, every cost row needs Frequency and Billed-to-client — the Check column tells you.</t>
  </si>
  <si>
    <t>3. One staffing row per person. Hours come from the dates (weekends and the location's holidays removed) × hours/day × utilization; type an override if the SOW fixes hours.</t>
  </si>
  <si>
    <t>4. Bill rate matters only for Time &amp; materials. For Fixed cost, Assessment and MSP the revenue is the price or fee, not the hours.</t>
  </si>
  <si>
    <t>5. GM % = (revenue − labour − burden − additional costs) ÷ revenue, checked against the floor blended by labour cost share.</t>
  </si>
  <si>
    <t>6. Monthly tab: people on the project, cost and margin for every month of the tenure — read it for MSP.</t>
  </si>
  <si>
    <t>Staffing total</t>
  </si>
  <si>
    <t>7. Leave a person's Start/End blank to use the project dates; fill them only if someone joins late or leaves early.</t>
  </si>
  <si>
    <t>8. Sheets are unprotected while the form is being stabilised. Don't delete rows inside the staffing table — the Monthly tab maps to them; clear a row's yellow cells instead.</t>
  </si>
  <si>
    <t>Additional costs — travel, meals, licences, hardware, subcontractors (required when B13 = Y). To remove one, clear its yellow cells.</t>
  </si>
  <si>
    <t>9. The sheet starts empty on purpose. Settings has placeholder burden % — set your real values once.</t>
  </si>
  <si>
    <t>Description *</t>
  </si>
  <si>
    <t>Category *</t>
  </si>
  <si>
    <t>Amount *</t>
  </si>
  <si>
    <t>Frequency  (dropdown: One-time or Monthly; blank = One-time)</t>
  </si>
  <si>
    <t>Billed to client? *  (dropdown Y/N — required)</t>
  </si>
  <si>
    <t>Total cost counted</t>
  </si>
  <si>
    <t>Revenue counted  (pass-through)</t>
  </si>
  <si>
    <t>Check</t>
  </si>
  <si>
    <t>Additional costs total</t>
  </si>
  <si>
    <t>Frequency Monthly = the amount repeats every month (× Duration). Blank or One-time = once. Billed to client Y = the client reimburses it (added to revenue and cost, zero margin); N = we absorb it.</t>
  </si>
  <si>
    <t>Settings</t>
  </si>
  <si>
    <t>Hours per working day</t>
  </si>
  <si>
    <t>Hours = working days (Mon–Fri minus the location's holidays) × hours/day × utilization.</t>
  </si>
  <si>
    <t>Holidays by location — list weekday holidays; header must match the Location name</t>
  </si>
  <si>
    <t>Target GM %</t>
  </si>
  <si>
    <t>Note</t>
  </si>
  <si>
    <t>Seniority list</t>
  </si>
  <si>
    <t>Cost category list</t>
  </si>
  <si>
    <t>Cost rate card — OUR hourly cost per person, before burden (PLACEHOLDERS — set your real numbers)</t>
  </si>
  <si>
    <t>US</t>
  </si>
  <si>
    <t>Placeholder burden % — replace with your actual US uplift (benefits, payroll tax, overhead).</t>
  </si>
  <si>
    <t>Junior</t>
  </si>
  <si>
    <t>Travel</t>
  </si>
  <si>
    <t>Seniority</t>
  </si>
  <si>
    <t>India</t>
  </si>
  <si>
    <t>Placeholder burden % — replace with your actual India uplift (PF, gratuity, insurance, overhead).</t>
  </si>
  <si>
    <t>Mid</t>
  </si>
  <si>
    <t>Lodging</t>
  </si>
  <si>
    <t>Add a third location here; it appears in the dropdown and gets holiday column L.</t>
  </si>
  <si>
    <t>Senior</t>
  </si>
  <si>
    <t>Meals</t>
  </si>
  <si>
    <t>Principal</t>
  </si>
  <si>
    <t>Software / licences</t>
  </si>
  <si>
    <t>Hardware</t>
  </si>
  <si>
    <t>Subcontractor</t>
  </si>
  <si>
    <t>A staffing row's cost/hour is pre-filled from here by Seniority × Location. Typing a value on the row overrides it.</t>
  </si>
  <si>
    <t>Miscellaneous</t>
  </si>
  <si>
    <t>Engagement types</t>
  </si>
  <si>
    <t>Fixed cost</t>
  </si>
  <si>
    <t>Fixed cost / Assessment: one total price for the project. MSP: a fixed fee per month for the tenure. Time &amp; materials: hours × bill rate.</t>
  </si>
  <si>
    <t>Assessment</t>
  </si>
  <si>
    <t>MSP</t>
  </si>
  <si>
    <t>Time &amp; materials</t>
  </si>
  <si>
    <t>US = federal holidays 2026–27 (observed). India = national days only (Republic Day, Independence Day, Gandhi Jayanti, Jan 1, Dec 25); add Holi, Diwali and state/company days from your HR calendar.</t>
  </si>
  <si>
    <t>Month by month — people, cost and margin</t>
  </si>
  <si>
    <t>Built from the Cost Margin tab. Up to 24 months. Partial first/last months are prorated by days (row 4). MSP revenue = monthly fee × share of month; Fixed cost / Assessment = price spread by share of month; T&amp;M = that month's hours × bill rate. One-time additional costs land in month 1; monthly ones repeat, prorated.</t>
  </si>
  <si>
    <t>Share of month covered</t>
  </si>
  <si>
    <t>Month start</t>
  </si>
  <si>
    <t>Month end</t>
  </si>
  <si>
    <t>← calendar months in view</t>
  </si>
  <si>
    <t>Row</t>
  </si>
  <si>
    <t>Person / line</t>
  </si>
  <si>
    <t>Project total</t>
  </si>
  <si>
    <t>Working days in month, per person</t>
  </si>
  <si>
    <t>Hours in month, per person (override hours are spread by working-day share)</t>
  </si>
  <si>
    <t>Monthly P&amp;L</t>
  </si>
  <si>
    <t>People on project</t>
  </si>
  <si>
    <t>Hours</t>
  </si>
  <si>
    <t>Labour cost (loaded, incl. burden)</t>
  </si>
  <si>
    <t>Revenue</t>
  </si>
  <si>
    <t xml:space="preserve">Check: project-total revenue and cost here should equal the Cost Margin summary. Difference → </t>
  </si>
  <si>
    <t>(revenue diff, cost diff — both should be 0; a non-zero cost diff means the project runs past 24 months)</t>
  </si>
  <si>
    <t>Peppermill</t>
  </si>
  <si>
    <t>Y</t>
  </si>
  <si>
    <t>Vikrin</t>
  </si>
  <si>
    <t>srikanth</t>
  </si>
  <si>
    <t>Shawnna</t>
  </si>
  <si>
    <t>Chris</t>
  </si>
  <si>
    <t>Srikanth</t>
  </si>
  <si>
    <t>One-time</t>
  </si>
  <si>
    <t>Hours  (auto type in Hours override to change)</t>
  </si>
  <si>
    <t>Our cost / hour *  (what the person COSTS us per hour, before burden, pre-filled from the Settings rate card; overwrite if known)</t>
  </si>
  <si>
    <t>Start  (pre-filled from project start, change if the person joins later)</t>
  </si>
  <si>
    <t>End  (pre-filled from project end, change if they leave earlier)</t>
  </si>
  <si>
    <t>AI Assessment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</si>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</sst>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;\-0;\-"/>
    <numFmt numFmtId="165" formatCode="\$#,##0;&quot;($&quot;#,##0\);\-"/>
    <numFmt numFmtId="166" formatCode="mm/dd/yyyy"/>
    <numFmt numFmtId="167" formatCode="0.0%"/>
    <numFmt numFmtId="168" formatCode="#,##0;\(#,##0\);\-"/>
    <numFmt numFmtId="169" formatCode="\$#,##0.00;&quot;($&quot;#,##0.00\);\-"/>
  </numFmts>
  <fonts count="12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4"/>
      <name val="Arial"/>
      <family val="2"/>
    </font>
    <font>
      <i/>
      <sz val="9"/>
      <color rgb="FF595959"/>
      <name val="Arial"/>
      <family val="2"/>
    </font>
    <font>
      <b/>
      <sz val="10"/>
      <name val="Arial"/>
      <family val="2"/>
    </font>
    <font>
      <sz val="10"/>
      <color rgb="FF0000FF"/>
      <name val="Arial"/>
      <family val="2"/>
    </font>
    <font>
      <sz val="10"/>
      <color rgb="FF000000"/>
      <name val="Arial"/>
      <family val="2"/>
    </font>
    <font>
      <b/>
      <sz val="10"/>
      <color rgb="FFC00000"/>
      <name val="Arial"/>
      <family val="2"/>
    </font>
    <font>
      <b/>
      <sz val="10"/>
      <color rgb="FFFFFFFF"/>
      <name val="Arial"/>
      <family val="2"/>
    </font>
    <font>
      <sz val="10"/>
      <color rgb="FF008000"/>
      <name val="Arial"/>
      <family val="2"/>
    </font>
    <font>
      <sz val="9"/>
      <color rgb="FF595959"/>
      <name val="Arial"/>
      <family val="2"/>
    </font>
    <font>
      <b/>
      <sz val="11"/>
      <color rgb="FFC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2F2F2"/>
        <bgColor rgb="FFFFFFFF"/>
      </patternFill>
    </fill>
    <fill>
      <patternFill patternType="solid">
        <fgColor rgb="FF3F3A64"/>
        <bgColor rgb="FF333399"/>
      </patternFill>
    </fill>
    <fill>
      <patternFill patternType="solid">
        <fgColor rgb="FFE7E3F3"/>
        <b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8" fillId="4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Protection="1">
      <protection locked="0"/>
    </xf>
    <xf numFmtId="0" fontId="6" fillId="3" borderId="1" xfId="0" applyFont="1" applyFill="1" applyBorder="1"/>
    <xf numFmtId="164" fontId="6" fillId="3" borderId="1" xfId="0" applyNumberFormat="1" applyFont="1" applyFill="1" applyBorder="1"/>
    <xf numFmtId="165" fontId="6" fillId="3" borderId="1" xfId="0" applyNumberFormat="1" applyFont="1" applyFill="1" applyBorder="1"/>
    <xf numFmtId="166" fontId="5" fillId="2" borderId="1" xfId="0" applyNumberFormat="1" applyFont="1" applyFill="1" applyBorder="1" applyProtection="1">
      <protection locked="0"/>
    </xf>
    <xf numFmtId="0" fontId="4" fillId="3" borderId="1" xfId="0" applyFont="1" applyFill="1" applyBorder="1"/>
    <xf numFmtId="2" fontId="6" fillId="3" borderId="1" xfId="0" applyNumberFormat="1" applyFont="1" applyFill="1" applyBorder="1"/>
    <xf numFmtId="165" fontId="5" fillId="2" borderId="1" xfId="0" applyNumberFormat="1" applyFont="1" applyFill="1" applyBorder="1" applyProtection="1">
      <protection locked="0"/>
    </xf>
    <xf numFmtId="0" fontId="7" fillId="0" borderId="0" xfId="0" applyFont="1"/>
    <xf numFmtId="167" fontId="6" fillId="3" borderId="1" xfId="0" applyNumberFormat="1" applyFont="1" applyFill="1" applyBorder="1"/>
    <xf numFmtId="167" fontId="5" fillId="2" borderId="1" xfId="0" applyNumberFormat="1" applyFont="1" applyFill="1" applyBorder="1" applyProtection="1">
      <protection locked="0"/>
    </xf>
    <xf numFmtId="168" fontId="9" fillId="3" borderId="1" xfId="0" applyNumberFormat="1" applyFont="1" applyFill="1" applyBorder="1"/>
    <xf numFmtId="169" fontId="5" fillId="2" borderId="1" xfId="0" applyNumberFormat="1" applyFont="1" applyFill="1" applyBorder="1" applyProtection="1">
      <protection locked="0"/>
    </xf>
    <xf numFmtId="168" fontId="5" fillId="2" borderId="1" xfId="0" applyNumberFormat="1" applyFont="1" applyFill="1" applyBorder="1" applyProtection="1">
      <protection locked="0"/>
    </xf>
    <xf numFmtId="167" fontId="9" fillId="3" borderId="1" xfId="0" applyNumberFormat="1" applyFont="1" applyFill="1" applyBorder="1"/>
    <xf numFmtId="0" fontId="7" fillId="3" borderId="1" xfId="0" applyFont="1" applyFill="1" applyBorder="1" applyAlignment="1">
      <alignment vertical="top" wrapText="1"/>
    </xf>
    <xf numFmtId="0" fontId="6" fillId="3" borderId="1" xfId="0" applyFont="1" applyFill="1" applyBorder="1" applyAlignment="1">
      <alignment wrapText="1"/>
    </xf>
    <xf numFmtId="0" fontId="9" fillId="3" borderId="1" xfId="0" applyFont="1" applyFill="1" applyBorder="1"/>
    <xf numFmtId="0" fontId="10" fillId="0" borderId="0" xfId="0" applyFont="1"/>
    <xf numFmtId="0" fontId="4" fillId="5" borderId="1" xfId="0" applyFont="1" applyFill="1" applyBorder="1"/>
    <xf numFmtId="168" fontId="4" fillId="5" borderId="1" xfId="0" applyNumberFormat="1" applyFont="1" applyFill="1" applyBorder="1"/>
    <xf numFmtId="165" fontId="4" fillId="5" borderId="1" xfId="0" applyNumberFormat="1" applyFont="1" applyFill="1" applyBorder="1"/>
    <xf numFmtId="0" fontId="3" fillId="0" borderId="1" xfId="0" applyFont="1" applyBorder="1"/>
    <xf numFmtId="0" fontId="8" fillId="4" borderId="1" xfId="0" applyFont="1" applyFill="1" applyBorder="1"/>
    <xf numFmtId="0" fontId="8" fillId="4" borderId="1" xfId="0" applyFont="1" applyFill="1" applyBorder="1" applyAlignment="1">
      <alignment horizontal="center"/>
    </xf>
    <xf numFmtId="0" fontId="6" fillId="0" borderId="1" xfId="0" applyFont="1" applyBorder="1"/>
    <xf numFmtId="0" fontId="11" fillId="0" borderId="0" xfId="0" applyFont="1"/>
    <xf numFmtId="166" fontId="9" fillId="3" borderId="1" xfId="0" applyNumberFormat="1" applyFont="1" applyFill="1" applyBorder="1"/>
    <xf numFmtId="0" fontId="9" fillId="0" borderId="0" xfId="0" applyFont="1"/>
    <xf numFmtId="168" fontId="6" fillId="3" borderId="1" xfId="0" applyNumberFormat="1" applyFont="1" applyFill="1" applyBorder="1"/>
    <xf numFmtId="0" fontId="6" fillId="0" borderId="0" xfId="0" applyFont="1"/>
    <xf numFmtId="164" fontId="4" fillId="5" borderId="1" xfId="0" applyNumberFormat="1" applyFont="1" applyFill="1" applyBorder="1"/>
    <xf numFmtId="165" fontId="4" fillId="3" borderId="1" xfId="0" applyNumberFormat="1" applyFont="1" applyFill="1" applyBorder="1"/>
    <xf numFmtId="167" fontId="4" fillId="3" borderId="1" xfId="0" applyNumberFormat="1" applyFont="1" applyFill="1" applyBorder="1"/>
    <xf numFmtId="167" fontId="4" fillId="5" borderId="1" xfId="0" applyNumberFormat="1" applyFont="1" applyFill="1" applyBorder="1"/>
    <xf numFmtId="14" fontId="5" fillId="0" borderId="0" xfId="0" applyNumberFormat="1" applyFont="1"/>
    <xf numFmtId="0" fontId="8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11">
    <dxf>
      <font>
        <sz val="10"/>
        <color rgb="FF808080"/>
        <name val="Arial"/>
        <charset val="1"/>
      </font>
      <fill>
        <patternFill>
          <bgColor rgb="FFD9D9D9"/>
        </patternFill>
      </fill>
    </dxf>
    <dxf>
      <font>
        <sz val="10"/>
        <color rgb="FF808080"/>
        <name val="Arial"/>
        <charset val="1"/>
      </font>
      <fill>
        <patternFill>
          <bgColor rgb="FFD9D9D9"/>
        </patternFill>
      </fill>
    </dxf>
    <dxf>
      <font>
        <sz val="10"/>
        <color rgb="FFD9D9D9"/>
        <name val="Arial"/>
        <charset val="1"/>
      </font>
    </dxf>
    <dxf>
      <font>
        <sz val="10"/>
        <color rgb="FFD9D9D9"/>
        <name val="Arial"/>
        <charset val="1"/>
      </font>
    </dxf>
    <dxf>
      <font>
        <b/>
        <sz val="10"/>
        <color rgb="FFC00000"/>
        <name val="Arial"/>
        <charset val="1"/>
      </font>
    </dxf>
    <dxf>
      <font>
        <sz val="10"/>
        <color rgb="FFD9D9D9"/>
        <name val="Arial"/>
        <charset val="1"/>
      </font>
    </dxf>
    <dxf>
      <font>
        <sz val="10"/>
        <color rgb="FF808080"/>
        <name val="Arial"/>
        <charset val="1"/>
      </font>
      <fill>
        <patternFill>
          <bgColor rgb="FFD9D9D9"/>
        </patternFill>
      </fill>
    </dxf>
    <dxf>
      <font>
        <sz val="10"/>
        <color rgb="FFD9D9D9"/>
        <name val="Arial"/>
        <charset val="1"/>
      </font>
    </dxf>
    <dxf>
      <font>
        <sz val="10"/>
        <color rgb="FF808080"/>
        <name val="Arial"/>
        <charset val="1"/>
      </font>
      <fill>
        <patternFill>
          <bgColor rgb="FFD9D9D9"/>
        </patternFill>
      </fill>
    </dxf>
    <dxf>
      <font>
        <sz val="10"/>
        <color rgb="FF808080"/>
        <name val="Arial"/>
        <charset val="1"/>
      </font>
      <fill>
        <patternFill>
          <bgColor rgb="FFD9D9D9"/>
        </patternFill>
      </fill>
    </dxf>
    <dxf>
      <font>
        <sz val="10"/>
        <color rgb="FF808080"/>
        <name val="Arial"/>
        <charset val="1"/>
      </font>
      <fill>
        <patternFill>
          <bgColor rgb="FFD9D9D9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E7E3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F3A6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4"/>
  <sheetViews>
    <sheetView tabSelected="1" zoomScaleNormal="100" workbookViewId="0">
      <pane xSplit="1" ySplit="16" topLeftCell="B17" activePane="bottomRight" state="frozen"/>
      <selection pane="topRight" activeCell="B1" sqref="B1"/>
      <selection pane="bottomLeft" activeCell="A17" sqref="A17"/>
      <selection pane="bottomRight" activeCell="B11" sqref="B11"/>
    </sheetView>
  </sheetViews>
  <sheetFormatPr baseColWidth="10" defaultColWidth="8.6640625" defaultRowHeight="15" x14ac:dyDescent="0.2"/>
  <cols>
    <col min="1" max="1" width="43.6640625" customWidth="1"/>
    <col min="2" max="2" width="16" customWidth="1"/>
    <col min="3" max="3" width="11" customWidth="1"/>
    <col min="4" max="5" width="12" customWidth="1"/>
    <col min="6" max="6" width="14" customWidth="1"/>
    <col min="7" max="7" width="26" customWidth="1"/>
    <col min="8" max="8" width="22.5" customWidth="1"/>
    <col min="9" max="9" width="13" customWidth="1"/>
    <col min="10" max="10" width="10" customWidth="1"/>
    <col min="11" max="11" width="13" customWidth="1"/>
    <col min="12" max="12" width="10" customWidth="1"/>
    <col min="13" max="13" width="15" customWidth="1"/>
    <col min="14" max="14" width="14" customWidth="1"/>
    <col min="15" max="15" width="12" customWidth="1"/>
    <col min="16" max="16" width="14" customWidth="1"/>
    <col min="17" max="17" width="9" customWidth="1"/>
    <col min="18" max="18" width="3" customWidth="1"/>
    <col min="19" max="19" width="34" customWidth="1"/>
    <col min="20" max="20" width="30" customWidth="1"/>
    <col min="21" max="21" width="14" customWidth="1"/>
    <col min="22" max="22" width="10" customWidth="1"/>
  </cols>
  <sheetData>
    <row r="1" spans="1:20" ht="18" x14ac:dyDescent="0.2">
      <c r="A1" s="2" t="s">
        <v>0</v>
      </c>
    </row>
    <row r="2" spans="1:20" x14ac:dyDescent="0.2">
      <c r="A2" s="3" t="s">
        <v>1</v>
      </c>
    </row>
    <row r="3" spans="1:20" x14ac:dyDescent="0.2">
      <c r="S3" s="4" t="s">
        <v>2</v>
      </c>
    </row>
    <row r="4" spans="1:20" x14ac:dyDescent="0.2">
      <c r="A4" s="4" t="s">
        <v>3</v>
      </c>
      <c r="B4" s="5" t="s">
        <v>100</v>
      </c>
      <c r="C4" s="3" t="s">
        <v>4</v>
      </c>
      <c r="S4" s="6" t="s">
        <v>5</v>
      </c>
      <c r="T4" s="6" t="str">
        <f>IF(B4="","",B4)</f>
        <v>Assessment</v>
      </c>
    </row>
    <row r="5" spans="1:20" x14ac:dyDescent="0.2">
      <c r="A5" s="4" t="s">
        <v>6</v>
      </c>
      <c r="B5" s="5" t="s">
        <v>134</v>
      </c>
      <c r="S5" s="6" t="s">
        <v>7</v>
      </c>
      <c r="T5" s="7">
        <f>B10</f>
        <v>0.96129032258064517</v>
      </c>
    </row>
    <row r="6" spans="1:20" x14ac:dyDescent="0.2">
      <c r="A6" s="4" t="s">
        <v>8</v>
      </c>
      <c r="B6" s="5" t="s">
        <v>122</v>
      </c>
      <c r="S6" s="6" t="s">
        <v>9</v>
      </c>
      <c r="T6" s="8">
        <f>IF(B4="","",IF(B4="MSP",IF(OR(B12="",B10=""),"",B12*B10),IF(B4="Time &amp; materials",M37,IF(B11="","",B11))))</f>
        <v>50000</v>
      </c>
    </row>
    <row r="7" spans="1:20" x14ac:dyDescent="0.2">
      <c r="A7" s="4" t="s">
        <v>10</v>
      </c>
      <c r="B7" s="5" t="s">
        <v>11</v>
      </c>
      <c r="S7" s="6" t="s">
        <v>12</v>
      </c>
      <c r="T7" s="8">
        <f>H53</f>
        <v>0</v>
      </c>
    </row>
    <row r="8" spans="1:20" x14ac:dyDescent="0.2">
      <c r="A8" s="4" t="s">
        <v>13</v>
      </c>
      <c r="B8" s="40">
        <v>46272</v>
      </c>
      <c r="S8" s="10" t="s">
        <v>14</v>
      </c>
      <c r="T8" s="8">
        <f>IF(T6="","",T6+T7)</f>
        <v>50000</v>
      </c>
    </row>
    <row r="9" spans="1:20" x14ac:dyDescent="0.2">
      <c r="A9" s="4" t="s">
        <v>15</v>
      </c>
      <c r="B9" s="40">
        <v>46300</v>
      </c>
      <c r="S9" s="6" t="s">
        <v>16</v>
      </c>
      <c r="T9" s="8">
        <f>N37</f>
        <v>27416.121599999999</v>
      </c>
    </row>
    <row r="10" spans="1:20" x14ac:dyDescent="0.2">
      <c r="A10" s="4" t="s">
        <v>17</v>
      </c>
      <c r="B10" s="11">
        <f>IF(OR(B8="",B9=""),"",SUM(Monthly!$C$4:$Z$4))</f>
        <v>0.96129032258064517</v>
      </c>
      <c r="C10" s="4" t="str">
        <f>IF(OR(B8="",B9=""),"",IF(B9&lt;B8,"End is before start",DATEDIF(B8,B9+1,"M")&amp;" month(s) "&amp;DATEDIF(B8,B9+1,"MD")&amp;" day(s) — "&amp;(B9-B8+1)&amp;" calendar days inclusive"))</f>
        <v>0 month(s) 29 day(s) — 29 calendar days inclusive</v>
      </c>
      <c r="S10" s="6" t="s">
        <v>18</v>
      </c>
      <c r="T10" s="8">
        <f>O37</f>
        <v>3143.0837759999999</v>
      </c>
    </row>
    <row r="11" spans="1:20" x14ac:dyDescent="0.2">
      <c r="A11" s="4" t="s">
        <v>19</v>
      </c>
      <c r="B11" s="12">
        <v>50000</v>
      </c>
      <c r="C11" s="13" t="str">
        <f>IF(OR(B4="Fixed cost",B4="Assessment"),IF(B11="","← required for this engagement type",""),IF(B11="","","Not used for this engagement type"))</f>
        <v/>
      </c>
      <c r="S11" s="6" t="s">
        <v>20</v>
      </c>
      <c r="T11" s="8">
        <f>G53</f>
        <v>3000</v>
      </c>
    </row>
    <row r="12" spans="1:20" x14ac:dyDescent="0.2">
      <c r="A12" s="4" t="s">
        <v>21</v>
      </c>
      <c r="B12" s="12"/>
      <c r="C12" s="13" t="str">
        <f>IF(B4="MSP",IF(B12="","← required for MSP",""),IF(B12="","","Not used for this engagement type"))</f>
        <v/>
      </c>
      <c r="S12" s="10" t="s">
        <v>22</v>
      </c>
      <c r="T12" s="8">
        <f>T9+T10+T11</f>
        <v>33559.205375999998</v>
      </c>
    </row>
    <row r="13" spans="1:20" x14ac:dyDescent="0.2">
      <c r="A13" s="4" t="s">
        <v>23</v>
      </c>
      <c r="B13" s="5" t="s">
        <v>123</v>
      </c>
      <c r="C13" s="13" t="str">
        <f>IF(B13="","← required: Y if there are travel, licences, subcontractor or other costs; N if none","")</f>
        <v/>
      </c>
      <c r="S13" s="10" t="s">
        <v>24</v>
      </c>
      <c r="T13" s="8">
        <f>IF(T8="","",T8-T12)</f>
        <v>16440.794624000002</v>
      </c>
    </row>
    <row r="14" spans="1:20" x14ac:dyDescent="0.2">
      <c r="S14" s="10" t="s">
        <v>25</v>
      </c>
      <c r="T14" s="14">
        <f>IF(OR(T8="",T8=0),"",T13/T8)</f>
        <v>0.32881589248000004</v>
      </c>
    </row>
    <row r="15" spans="1:20" x14ac:dyDescent="0.2">
      <c r="A15" s="4" t="s">
        <v>26</v>
      </c>
      <c r="S15" s="6" t="s">
        <v>27</v>
      </c>
      <c r="T15" s="14">
        <f>IF(N37=0,"",SUMPRODUCT(N17:N36,Q17:Q36)/N37)</f>
        <v>0.35000000000000003</v>
      </c>
    </row>
    <row r="16" spans="1:20" ht="94" customHeight="1" x14ac:dyDescent="0.2">
      <c r="A16" s="1" t="s">
        <v>28</v>
      </c>
      <c r="B16" s="1" t="s">
        <v>29</v>
      </c>
      <c r="C16" s="1" t="s">
        <v>30</v>
      </c>
      <c r="D16" s="1" t="s">
        <v>31</v>
      </c>
      <c r="E16" s="1" t="s">
        <v>130</v>
      </c>
      <c r="F16" s="1" t="s">
        <v>32</v>
      </c>
      <c r="G16" s="1" t="s">
        <v>131</v>
      </c>
      <c r="H16" s="1" t="s">
        <v>132</v>
      </c>
      <c r="I16" s="1" t="s">
        <v>133</v>
      </c>
      <c r="J16" s="1" t="s">
        <v>33</v>
      </c>
      <c r="K16" s="1" t="s">
        <v>34</v>
      </c>
      <c r="L16" s="1" t="s">
        <v>35</v>
      </c>
      <c r="M16" s="1" t="s">
        <v>36</v>
      </c>
      <c r="N16" s="1" t="s">
        <v>37</v>
      </c>
      <c r="O16" s="1" t="s">
        <v>18</v>
      </c>
      <c r="P16" s="1" t="s">
        <v>38</v>
      </c>
      <c r="Q16" s="1" t="s">
        <v>39</v>
      </c>
      <c r="S16" s="10" t="s">
        <v>40</v>
      </c>
      <c r="T16" s="10" t="str">
        <f>IF(T18&lt;&gt;"","INCOMPLETE — see below",IF(OR(T14="",T15=""),"",IF(T14&gt;=T15,"PASS","BELOW FLOOR")))</f>
        <v>BELOW FLOOR</v>
      </c>
    </row>
    <row r="17" spans="1:22" ht="18" customHeight="1" x14ac:dyDescent="0.2">
      <c r="A17" s="5" t="s">
        <v>124</v>
      </c>
      <c r="B17" s="5" t="s">
        <v>89</v>
      </c>
      <c r="C17" s="5" t="s">
        <v>79</v>
      </c>
      <c r="D17" s="15">
        <v>1</v>
      </c>
      <c r="E17" s="16">
        <f>IF(K17&lt;&gt;"",K17,IF(J17="","",J17*Settings!$B$3*IF(D17="",1,D17)))</f>
        <v>168</v>
      </c>
      <c r="F17" s="17"/>
      <c r="G17" s="17">
        <v>143</v>
      </c>
      <c r="H17" s="9">
        <f t="shared" ref="H17:H36" si="0">IF(OR(A17="",$B$8=""),"",$B$8)</f>
        <v>46272</v>
      </c>
      <c r="I17" s="9">
        <f t="shared" ref="I17:I36" si="1">IF(OR(A17="",$B$9=""),"",$B$9)</f>
        <v>46300</v>
      </c>
      <c r="J17" s="16">
        <f>IF(OR(A17="",IF(H17="",$B$8,H17)="",IF(I17="",$B$9,I17)=""),"",IFERROR(NETWORKDAYS(IF(H17="",$B$8,H17),IF(I17="",$B$9,I17),INDEX(Settings!$J$7:$M$60,0,MATCH(C17,Settings!$J$6:$M$6,0))),NETWORKDAYS(IF(H17="",$B$8,H17),IF(I17="",$B$9,I17))))</f>
        <v>21</v>
      </c>
      <c r="K17" s="18"/>
      <c r="L17" s="19">
        <v>0.08</v>
      </c>
      <c r="M17" s="8">
        <f t="shared" ref="M17:M36" si="2">IF(OR(E17="",F17=""),0,E17*F17)</f>
        <v>0</v>
      </c>
      <c r="N17" s="8">
        <f t="shared" ref="N17:N36" si="3">IF(OR(E17="",G17=""),0,E17*G17)</f>
        <v>24024</v>
      </c>
      <c r="O17" s="8">
        <f t="shared" ref="O17:O36" si="4">N17*L17</f>
        <v>1921.92</v>
      </c>
      <c r="P17" s="8">
        <f t="shared" ref="P17:P36" si="5">N17+O17</f>
        <v>25945.919999999998</v>
      </c>
      <c r="Q17" s="19">
        <f>IF(C17="",0,IFERROR(INDEX(Settings!$C$6:$C$9,MATCH(C17,Settings!$A$6:$A$9,0)),0))</f>
        <v>0.35</v>
      </c>
    </row>
    <row r="18" spans="1:22" ht="20" customHeight="1" x14ac:dyDescent="0.2">
      <c r="A18" s="5" t="s">
        <v>125</v>
      </c>
      <c r="B18" s="5" t="s">
        <v>89</v>
      </c>
      <c r="C18" s="5" t="s">
        <v>79</v>
      </c>
      <c r="D18" s="15">
        <v>0.24</v>
      </c>
      <c r="E18" s="16">
        <f>IF(K18&lt;&gt;"",K18,IF(J18="","",J18*Settings!$B$3*IF(D18="",1,D18)))</f>
        <v>40.32</v>
      </c>
      <c r="F18" s="17"/>
      <c r="G18" s="17">
        <v>84.13</v>
      </c>
      <c r="H18" s="9">
        <f t="shared" si="0"/>
        <v>46272</v>
      </c>
      <c r="I18" s="9">
        <f t="shared" si="1"/>
        <v>46300</v>
      </c>
      <c r="J18" s="16">
        <f>IF(OR(A18="",IF(H18="",$B$8,H18)="",IF(I18="",$B$9,I18)=""),"",IFERROR(NETWORKDAYS(IF(H18="",$B$8,H18),IF(I18="",$B$9,I18),INDEX(Settings!$J$7:$M$60,0,MATCH(C18,Settings!$J$6:$M$6,0))),NETWORKDAYS(IF(H18="",$B$8,H18),IF(I18="",$B$9,I18))))</f>
        <v>21</v>
      </c>
      <c r="K18" s="18"/>
      <c r="L18" s="19">
        <v>0.36</v>
      </c>
      <c r="M18" s="8">
        <f t="shared" si="2"/>
        <v>0</v>
      </c>
      <c r="N18" s="8">
        <f t="shared" si="3"/>
        <v>3392.1215999999999</v>
      </c>
      <c r="O18" s="8">
        <f t="shared" si="4"/>
        <v>1221.1637759999999</v>
      </c>
      <c r="P18" s="8">
        <f t="shared" si="5"/>
        <v>4613.2853759999998</v>
      </c>
      <c r="Q18" s="19">
        <f>IF(C18="",0,IFERROR(INDEX(Settings!$C$6:$C$9,MATCH(C18,Settings!$A$6:$A$9,0)),0))</f>
        <v>0.35</v>
      </c>
      <c r="S18" s="6" t="s">
        <v>41</v>
      </c>
      <c r="T18" s="20" t="str">
        <f>TRIM(IF(B4="","Engagement type. ","")&amp;IF(OR(B8="",B9=""),"Project dates. ","")&amp;IF(AND(OR(B4="Fixed cost",B4="Assessment"),B11=""),"Total project price. ","")&amp;IF(AND(B4="MSP",B12=""),"Monthly fee. ","")&amp;IF(B13="","Additional costs Y/N. ","")&amp;IF(COUNTIF(I41:I52,"Pick*")&gt;0,"Billed to client Y/N (column F) on additional cost rows. ","")&amp;IF(COUNTIFS(A17:A36,"&lt;&gt;",G17:G36,"")&gt;0,"Our cost/hour (column G) on staffing rows — pick Seniority + Location or type it. ","")&amp;IF(AND(B4="Time &amp; materials",COUNTIFS(A17:A36,"&lt;&gt;",F17:F36,"")&gt;0),"Bill rate on T&amp;M rows. ",""))</f>
        <v/>
      </c>
    </row>
    <row r="19" spans="1:22" x14ac:dyDescent="0.2">
      <c r="A19" s="5"/>
      <c r="B19" s="5"/>
      <c r="C19" s="5"/>
      <c r="D19" s="15"/>
      <c r="E19" s="16" t="str">
        <f>IF(K19&lt;&gt;"",K19,IF(J19="","",J19*Settings!$B$3*IF(D19="",1,D19)))</f>
        <v/>
      </c>
      <c r="F19" s="17"/>
      <c r="G19" s="17" t="str">
        <f>IFERROR(INDEX(Settings!$Q$7:$T$10,MATCH(B19,Settings!$P$7:$P$10,0),MATCH(C19,Settings!$Q$6:$T$6,0)),"")</f>
        <v/>
      </c>
      <c r="H19" s="9" t="str">
        <f t="shared" si="0"/>
        <v/>
      </c>
      <c r="I19" s="9" t="str">
        <f t="shared" si="1"/>
        <v/>
      </c>
      <c r="J19" s="16" t="str">
        <f>IF(OR(A19="",IF(H19="",$B$8,H19)="",IF(I19="",$B$9,I19)=""),"",IFERROR(NETWORKDAYS(IF(H19="",$B$8,H19),IF(I19="",$B$9,I19),INDEX(Settings!$J$7:$M$60,0,MATCH(C19,Settings!$J$6:$M$6,0))),NETWORKDAYS(IF(H19="",$B$8,H19),IF(I19="",$B$9,I19))))</f>
        <v/>
      </c>
      <c r="K19" s="18"/>
      <c r="L19" s="19">
        <f>IF(C19="",0,IFERROR(INDEX(Settings!$B$6:$B$9,MATCH(C19,Settings!$A$6:$A$9,0)),0))</f>
        <v>0</v>
      </c>
      <c r="M19" s="8">
        <f t="shared" si="2"/>
        <v>0</v>
      </c>
      <c r="N19" s="8">
        <f t="shared" si="3"/>
        <v>0</v>
      </c>
      <c r="O19" s="8">
        <f t="shared" si="4"/>
        <v>0</v>
      </c>
      <c r="P19" s="8">
        <f t="shared" si="5"/>
        <v>0</v>
      </c>
      <c r="Q19" s="19">
        <f>IF(C19="",0,IFERROR(INDEX(Settings!$C$6:$C$9,MATCH(C19,Settings!$A$6:$A$9,0)),0))</f>
        <v>0</v>
      </c>
    </row>
    <row r="20" spans="1:22" x14ac:dyDescent="0.2">
      <c r="A20" s="5"/>
      <c r="B20" s="5"/>
      <c r="C20" s="5"/>
      <c r="D20" s="15"/>
      <c r="E20" s="16" t="str">
        <f>IF(K20&lt;&gt;"",K20,IF(J20="","",J20*Settings!$B$3*IF(D20="",1,D20)))</f>
        <v/>
      </c>
      <c r="F20" s="17"/>
      <c r="G20" s="17" t="str">
        <f>IFERROR(INDEX(Settings!$Q$7:$T$10,MATCH(B20,Settings!$P$7:$P$10,0),MATCH(C20,Settings!$Q$6:$T$6,0)),"")</f>
        <v/>
      </c>
      <c r="H20" s="9" t="str">
        <f t="shared" si="0"/>
        <v/>
      </c>
      <c r="I20" s="9" t="str">
        <f t="shared" si="1"/>
        <v/>
      </c>
      <c r="J20" s="16" t="str">
        <f>IF(OR(A20="",IF(H20="",$B$8,H20)="",IF(I20="",$B$9,I20)=""),"",IFERROR(NETWORKDAYS(IF(H20="",$B$8,H20),IF(I20="",$B$9,I20),INDEX(Settings!$J$7:$M$60,0,MATCH(C20,Settings!$J$6:$M$6,0))),NETWORKDAYS(IF(H20="",$B$8,H20),IF(I20="",$B$9,I20))))</f>
        <v/>
      </c>
      <c r="K20" s="18"/>
      <c r="L20" s="19">
        <f>IF(C20="",0,IFERROR(INDEX(Settings!$B$6:$B$9,MATCH(C20,Settings!$A$6:$A$9,0)),0))</f>
        <v>0</v>
      </c>
      <c r="M20" s="8">
        <f t="shared" si="2"/>
        <v>0</v>
      </c>
      <c r="N20" s="8">
        <f t="shared" si="3"/>
        <v>0</v>
      </c>
      <c r="O20" s="8">
        <f t="shared" si="4"/>
        <v>0</v>
      </c>
      <c r="P20" s="8">
        <f t="shared" si="5"/>
        <v>0</v>
      </c>
      <c r="Q20" s="19">
        <f>IF(C20="",0,IFERROR(INDEX(Settings!$C$6:$C$9,MATCH(C20,Settings!$A$6:$A$9,0)),0))</f>
        <v>0</v>
      </c>
      <c r="S20" s="10" t="s">
        <v>42</v>
      </c>
      <c r="T20" s="21" t="str">
        <f>IF(B10="","",IF(B10&gt;2,"Required — see Monthly tab","Not needed (≤ 2 months)"))</f>
        <v>Not needed (≤ 2 months)</v>
      </c>
    </row>
    <row r="21" spans="1:22" x14ac:dyDescent="0.2">
      <c r="A21" s="5"/>
      <c r="B21" s="5"/>
      <c r="C21" s="5"/>
      <c r="D21" s="15"/>
      <c r="E21" s="16" t="str">
        <f>IF(K21&lt;&gt;"",K21,IF(J21="","",J21*Settings!$B$3*IF(D21="",1,D21)))</f>
        <v/>
      </c>
      <c r="F21" s="17"/>
      <c r="G21" s="17" t="str">
        <f>IFERROR(INDEX(Settings!$Q$7:$T$10,MATCH(B21,Settings!$P$7:$P$10,0),MATCH(C21,Settings!$Q$6:$T$6,0)),"")</f>
        <v/>
      </c>
      <c r="H21" s="9" t="str">
        <f t="shared" si="0"/>
        <v/>
      </c>
      <c r="I21" s="9" t="str">
        <f t="shared" si="1"/>
        <v/>
      </c>
      <c r="J21" s="16" t="str">
        <f>IF(OR(A21="",IF(H21="",$B$8,H21)="",IF(I21="",$B$9,I21)=""),"",IFERROR(NETWORKDAYS(IF(H21="",$B$8,H21),IF(I21="",$B$9,I21),INDEX(Settings!$J$7:$M$60,0,MATCH(C21,Settings!$J$6:$M$6,0))),NETWORKDAYS(IF(H21="",$B$8,H21),IF(I21="",$B$9,I21))))</f>
        <v/>
      </c>
      <c r="K21" s="18"/>
      <c r="L21" s="19">
        <f>IF(C21="",0,IFERROR(INDEX(Settings!$B$6:$B$9,MATCH(C21,Settings!$A$6:$A$9,0)),0))</f>
        <v>0</v>
      </c>
      <c r="M21" s="8">
        <f t="shared" si="2"/>
        <v>0</v>
      </c>
      <c r="N21" s="8">
        <f t="shared" si="3"/>
        <v>0</v>
      </c>
      <c r="O21" s="8">
        <f t="shared" si="4"/>
        <v>0</v>
      </c>
      <c r="P21" s="8">
        <f t="shared" si="5"/>
        <v>0</v>
      </c>
      <c r="Q21" s="19">
        <f>IF(C21="",0,IFERROR(INDEX(Settings!$C$6:$C$9,MATCH(C21,Settings!$A$6:$A$9,0)),0))</f>
        <v>0</v>
      </c>
    </row>
    <row r="22" spans="1:22" x14ac:dyDescent="0.2">
      <c r="A22" s="5"/>
      <c r="B22" s="5"/>
      <c r="C22" s="5"/>
      <c r="D22" s="15"/>
      <c r="E22" s="16" t="str">
        <f>IF(K22&lt;&gt;"",K22,IF(J22="","",J22*Settings!$B$3*IF(D22="",1,D22)))</f>
        <v/>
      </c>
      <c r="F22" s="17"/>
      <c r="G22" s="17" t="str">
        <f>IFERROR(INDEX(Settings!$Q$7:$T$10,MATCH(B22,Settings!$P$7:$P$10,0),MATCH(C22,Settings!$Q$6:$T$6,0)),"")</f>
        <v/>
      </c>
      <c r="H22" s="9" t="str">
        <f t="shared" si="0"/>
        <v/>
      </c>
      <c r="I22" s="9" t="str">
        <f t="shared" si="1"/>
        <v/>
      </c>
      <c r="J22" s="16" t="str">
        <f>IF(OR(A22="",IF(H22="",$B$8,H22)="",IF(I22="",$B$9,I22)=""),"",IFERROR(NETWORKDAYS(IF(H22="",$B$8,H22),IF(I22="",$B$9,I22),INDEX(Settings!$J$7:$M$60,0,MATCH(C22,Settings!$J$6:$M$6,0))),NETWORKDAYS(IF(H22="",$B$8,H22),IF(I22="",$B$9,I22))))</f>
        <v/>
      </c>
      <c r="K22" s="18"/>
      <c r="L22" s="19">
        <f>IF(C22="",0,IFERROR(INDEX(Settings!$B$6:$B$9,MATCH(C22,Settings!$A$6:$A$9,0)),0))</f>
        <v>0</v>
      </c>
      <c r="M22" s="8">
        <f t="shared" si="2"/>
        <v>0</v>
      </c>
      <c r="N22" s="8">
        <f t="shared" si="3"/>
        <v>0</v>
      </c>
      <c r="O22" s="8">
        <f t="shared" si="4"/>
        <v>0</v>
      </c>
      <c r="P22" s="8">
        <f t="shared" si="5"/>
        <v>0</v>
      </c>
      <c r="Q22" s="19">
        <f>IF(C22="",0,IFERROR(INDEX(Settings!$C$6:$C$9,MATCH(C22,Settings!$A$6:$A$9,0)),0))</f>
        <v>0</v>
      </c>
      <c r="S22" s="4" t="s">
        <v>43</v>
      </c>
    </row>
    <row r="23" spans="1:22" x14ac:dyDescent="0.2">
      <c r="A23" s="5"/>
      <c r="B23" s="5"/>
      <c r="C23" s="5"/>
      <c r="D23" s="15"/>
      <c r="E23" s="16" t="str">
        <f>IF(K23&lt;&gt;"",K23,IF(J23="","",J23*Settings!$B$3*IF(D23="",1,D23)))</f>
        <v/>
      </c>
      <c r="F23" s="17"/>
      <c r="G23" s="17" t="str">
        <f>IFERROR(INDEX(Settings!$Q$7:$T$10,MATCH(B23,Settings!$P$7:$P$10,0),MATCH(C23,Settings!$Q$6:$T$6,0)),"")</f>
        <v/>
      </c>
      <c r="H23" s="9" t="str">
        <f t="shared" si="0"/>
        <v/>
      </c>
      <c r="I23" s="9" t="str">
        <f t="shared" si="1"/>
        <v/>
      </c>
      <c r="J23" s="16" t="str">
        <f>IF(OR(A23="",IF(H23="",$B$8,H23)="",IF(I23="",$B$9,I23)=""),"",IFERROR(NETWORKDAYS(IF(H23="",$B$8,H23),IF(I23="",$B$9,I23),INDEX(Settings!$J$7:$M$60,0,MATCH(C23,Settings!$J$6:$M$6,0))),NETWORKDAYS(IF(H23="",$B$8,H23),IF(I23="",$B$9,I23))))</f>
        <v/>
      </c>
      <c r="K23" s="18"/>
      <c r="L23" s="19">
        <f>IF(C23="",0,IFERROR(INDEX(Settings!$B$6:$B$9,MATCH(C23,Settings!$A$6:$A$9,0)),0))</f>
        <v>0</v>
      </c>
      <c r="M23" s="8">
        <f t="shared" si="2"/>
        <v>0</v>
      </c>
      <c r="N23" s="8">
        <f t="shared" si="3"/>
        <v>0</v>
      </c>
      <c r="O23" s="8">
        <f t="shared" si="4"/>
        <v>0</v>
      </c>
      <c r="P23" s="8">
        <f t="shared" si="5"/>
        <v>0</v>
      </c>
      <c r="Q23" s="19">
        <f>IF(C23="",0,IFERROR(INDEX(Settings!$C$6:$C$9,MATCH(C23,Settings!$A$6:$A$9,0)),0))</f>
        <v>0</v>
      </c>
      <c r="S23" s="1" t="s">
        <v>44</v>
      </c>
      <c r="T23" s="1" t="s">
        <v>45</v>
      </c>
      <c r="U23" s="1" t="s">
        <v>46</v>
      </c>
      <c r="V23" s="1" t="s">
        <v>47</v>
      </c>
    </row>
    <row r="24" spans="1:22" x14ac:dyDescent="0.2">
      <c r="A24" s="5"/>
      <c r="B24" s="5"/>
      <c r="C24" s="5"/>
      <c r="D24" s="15"/>
      <c r="E24" s="16" t="str">
        <f>IF(K24&lt;&gt;"",K24,IF(J24="","",J24*Settings!$B$3*IF(D24="",1,D24)))</f>
        <v/>
      </c>
      <c r="F24" s="17"/>
      <c r="G24" s="17" t="str">
        <f>IFERROR(INDEX(Settings!$Q$7:$T$10,MATCH(B24,Settings!$P$7:$P$10,0),MATCH(C24,Settings!$Q$6:$T$6,0)),"")</f>
        <v/>
      </c>
      <c r="H24" s="9" t="str">
        <f t="shared" si="0"/>
        <v/>
      </c>
      <c r="I24" s="9" t="str">
        <f t="shared" si="1"/>
        <v/>
      </c>
      <c r="J24" s="16" t="str">
        <f>IF(OR(A24="",IF(H24="",$B$8,H24)="",IF(I24="",$B$9,I24)=""),"",IFERROR(NETWORKDAYS(IF(H24="",$B$8,H24),IF(I24="",$B$9,I24),INDEX(Settings!$J$7:$M$60,0,MATCH(C24,Settings!$J$6:$M$6,0))),NETWORKDAYS(IF(H24="",$B$8,H24),IF(I24="",$B$9,I24))))</f>
        <v/>
      </c>
      <c r="K24" s="18"/>
      <c r="L24" s="19">
        <f>IF(C24="",0,IFERROR(INDEX(Settings!$B$6:$B$9,MATCH(C24,Settings!$A$6:$A$9,0)),0))</f>
        <v>0</v>
      </c>
      <c r="M24" s="8">
        <f t="shared" si="2"/>
        <v>0</v>
      </c>
      <c r="N24" s="8">
        <f t="shared" si="3"/>
        <v>0</v>
      </c>
      <c r="O24" s="8">
        <f t="shared" si="4"/>
        <v>0</v>
      </c>
      <c r="P24" s="8">
        <f t="shared" si="5"/>
        <v>0</v>
      </c>
      <c r="Q24" s="19">
        <f>IF(C24="",0,IFERROR(INDEX(Settings!$C$6:$C$9,MATCH(C24,Settings!$A$6:$A$9,0)),0))</f>
        <v>0</v>
      </c>
      <c r="S24" s="22" t="str">
        <f>IF(Settings!A6="","",Settings!A6)</f>
        <v>US</v>
      </c>
      <c r="T24" s="8">
        <f>IF(S24="","",SUMIF($C$17:$C$36,S24,$P$17:$P$36))</f>
        <v>30559.205375999998</v>
      </c>
      <c r="U24" s="14">
        <f>IF(OR(S24="",$P$37=0),"",T24/$P$37)</f>
        <v>1</v>
      </c>
      <c r="V24" s="19">
        <f>IF(S24="","",Settings!C6)</f>
        <v>0.35</v>
      </c>
    </row>
    <row r="25" spans="1:22" x14ac:dyDescent="0.2">
      <c r="A25" s="5"/>
      <c r="B25" s="5"/>
      <c r="C25" s="5"/>
      <c r="D25" s="15"/>
      <c r="E25" s="16" t="str">
        <f>IF(K25&lt;&gt;"",K25,IF(J25="","",J25*Settings!$B$3*IF(D25="",1,D25)))</f>
        <v/>
      </c>
      <c r="F25" s="17"/>
      <c r="G25" s="17" t="str">
        <f>IFERROR(INDEX(Settings!$Q$7:$T$10,MATCH(B25,Settings!$P$7:$P$10,0),MATCH(C25,Settings!$Q$6:$T$6,0)),"")</f>
        <v/>
      </c>
      <c r="H25" s="9" t="str">
        <f t="shared" si="0"/>
        <v/>
      </c>
      <c r="I25" s="9" t="str">
        <f t="shared" si="1"/>
        <v/>
      </c>
      <c r="J25" s="16" t="str">
        <f>IF(OR(A25="",IF(H25="",$B$8,H25)="",IF(I25="",$B$9,I25)=""),"",IFERROR(NETWORKDAYS(IF(H25="",$B$8,H25),IF(I25="",$B$9,I25),INDEX(Settings!$J$7:$M$60,0,MATCH(C25,Settings!$J$6:$M$6,0))),NETWORKDAYS(IF(H25="",$B$8,H25),IF(I25="",$B$9,I25))))</f>
        <v/>
      </c>
      <c r="K25" s="18"/>
      <c r="L25" s="19">
        <f>IF(C25="",0,IFERROR(INDEX(Settings!$B$6:$B$9,MATCH(C25,Settings!$A$6:$A$9,0)),0))</f>
        <v>0</v>
      </c>
      <c r="M25" s="8">
        <f t="shared" si="2"/>
        <v>0</v>
      </c>
      <c r="N25" s="8">
        <f t="shared" si="3"/>
        <v>0</v>
      </c>
      <c r="O25" s="8">
        <f t="shared" si="4"/>
        <v>0</v>
      </c>
      <c r="P25" s="8">
        <f t="shared" si="5"/>
        <v>0</v>
      </c>
      <c r="Q25" s="19">
        <f>IF(C25="",0,IFERROR(INDEX(Settings!$C$6:$C$9,MATCH(C25,Settings!$A$6:$A$9,0)),0))</f>
        <v>0</v>
      </c>
      <c r="S25" s="22" t="str">
        <f>IF(Settings!A7="","",Settings!A7)</f>
        <v>India</v>
      </c>
      <c r="T25" s="8">
        <f>IF(S25="","",SUMIF($C$17:$C$36,S25,$P$17:$P$36))</f>
        <v>0</v>
      </c>
      <c r="U25" s="14">
        <f>IF(OR(S25="",$P$37=0),"",T25/$P$37)</f>
        <v>0</v>
      </c>
      <c r="V25" s="19">
        <f>IF(S25="","",Settings!C7)</f>
        <v>0.5</v>
      </c>
    </row>
    <row r="26" spans="1:22" x14ac:dyDescent="0.2">
      <c r="A26" s="5"/>
      <c r="B26" s="5"/>
      <c r="C26" s="5"/>
      <c r="D26" s="15"/>
      <c r="E26" s="16" t="str">
        <f>IF(K26&lt;&gt;"",K26,IF(J26="","",J26*Settings!$B$3*IF(D26="",1,D26)))</f>
        <v/>
      </c>
      <c r="F26" s="17"/>
      <c r="G26" s="17" t="str">
        <f>IFERROR(INDEX(Settings!$Q$7:$T$10,MATCH(B26,Settings!$P$7:$P$10,0),MATCH(C26,Settings!$Q$6:$T$6,0)),"")</f>
        <v/>
      </c>
      <c r="H26" s="9" t="str">
        <f t="shared" si="0"/>
        <v/>
      </c>
      <c r="I26" s="9" t="str">
        <f t="shared" si="1"/>
        <v/>
      </c>
      <c r="J26" s="16" t="str">
        <f>IF(OR(A26="",IF(H26="",$B$8,H26)="",IF(I26="",$B$9,I26)=""),"",IFERROR(NETWORKDAYS(IF(H26="",$B$8,H26),IF(I26="",$B$9,I26),INDEX(Settings!$J$7:$M$60,0,MATCH(C26,Settings!$J$6:$M$6,0))),NETWORKDAYS(IF(H26="",$B$8,H26),IF(I26="",$B$9,I26))))</f>
        <v/>
      </c>
      <c r="K26" s="18"/>
      <c r="L26" s="19">
        <f>IF(C26="",0,IFERROR(INDEX(Settings!$B$6:$B$9,MATCH(C26,Settings!$A$6:$A$9,0)),0))</f>
        <v>0</v>
      </c>
      <c r="M26" s="8">
        <f t="shared" si="2"/>
        <v>0</v>
      </c>
      <c r="N26" s="8">
        <f t="shared" si="3"/>
        <v>0</v>
      </c>
      <c r="O26" s="8">
        <f t="shared" si="4"/>
        <v>0</v>
      </c>
      <c r="P26" s="8">
        <f t="shared" si="5"/>
        <v>0</v>
      </c>
      <c r="Q26" s="19">
        <f>IF(C26="",0,IFERROR(INDEX(Settings!$C$6:$C$9,MATCH(C26,Settings!$A$6:$A$9,0)),0))</f>
        <v>0</v>
      </c>
      <c r="S26" s="22" t="str">
        <f>IF(Settings!A8="","",Settings!A8)</f>
        <v/>
      </c>
      <c r="T26" s="8" t="str">
        <f>IF(S26="","",SUMIF($C$17:$C$36,S26,$P$17:$P$36))</f>
        <v/>
      </c>
      <c r="U26" s="14" t="str">
        <f>IF(OR(S26="",$P$37=0),"",T26/$P$37)</f>
        <v/>
      </c>
      <c r="V26" s="19" t="str">
        <f>IF(S26="","",Settings!C8)</f>
        <v/>
      </c>
    </row>
    <row r="27" spans="1:22" x14ac:dyDescent="0.2">
      <c r="A27" s="5"/>
      <c r="B27" s="5"/>
      <c r="C27" s="5"/>
      <c r="D27" s="15"/>
      <c r="E27" s="16" t="str">
        <f>IF(K27&lt;&gt;"",K27,IF(J27="","",J27*Settings!$B$3*IF(D27="",1,D27)))</f>
        <v/>
      </c>
      <c r="F27" s="17"/>
      <c r="G27" s="17" t="str">
        <f>IFERROR(INDEX(Settings!$Q$7:$T$10,MATCH(B27,Settings!$P$7:$P$10,0),MATCH(C27,Settings!$Q$6:$T$6,0)),"")</f>
        <v/>
      </c>
      <c r="H27" s="9" t="str">
        <f t="shared" si="0"/>
        <v/>
      </c>
      <c r="I27" s="9" t="str">
        <f t="shared" si="1"/>
        <v/>
      </c>
      <c r="J27" s="16" t="str">
        <f>IF(OR(A27="",IF(H27="",$B$8,H27)="",IF(I27="",$B$9,I27)=""),"",IFERROR(NETWORKDAYS(IF(H27="",$B$8,H27),IF(I27="",$B$9,I27),INDEX(Settings!$J$7:$M$60,0,MATCH(C27,Settings!$J$6:$M$6,0))),NETWORKDAYS(IF(H27="",$B$8,H27),IF(I27="",$B$9,I27))))</f>
        <v/>
      </c>
      <c r="K27" s="18"/>
      <c r="L27" s="19">
        <f>IF(C27="",0,IFERROR(INDEX(Settings!$B$6:$B$9,MATCH(C27,Settings!$A$6:$A$9,0)),0))</f>
        <v>0</v>
      </c>
      <c r="M27" s="8">
        <f t="shared" si="2"/>
        <v>0</v>
      </c>
      <c r="N27" s="8">
        <f t="shared" si="3"/>
        <v>0</v>
      </c>
      <c r="O27" s="8">
        <f t="shared" si="4"/>
        <v>0</v>
      </c>
      <c r="P27" s="8">
        <f t="shared" si="5"/>
        <v>0</v>
      </c>
      <c r="Q27" s="19">
        <f>IF(C27="",0,IFERROR(INDEX(Settings!$C$6:$C$9,MATCH(C27,Settings!$A$6:$A$9,0)),0))</f>
        <v>0</v>
      </c>
      <c r="S27" s="22" t="str">
        <f>IF(Settings!A9="","",Settings!A9)</f>
        <v/>
      </c>
      <c r="T27" s="8" t="str">
        <f>IF(S27="","",SUMIF($C$17:$C$36,S27,$P$17:$P$36))</f>
        <v/>
      </c>
      <c r="U27" s="14" t="str">
        <f>IF(OR(S27="",$P$37=0),"",T27/$P$37)</f>
        <v/>
      </c>
      <c r="V27" s="19" t="str">
        <f>IF(S27="","",Settings!C9)</f>
        <v/>
      </c>
    </row>
    <row r="28" spans="1:22" x14ac:dyDescent="0.2">
      <c r="A28" s="5"/>
      <c r="B28" s="5"/>
      <c r="C28" s="5"/>
      <c r="D28" s="15"/>
      <c r="E28" s="16" t="str">
        <f>IF(K28&lt;&gt;"",K28,IF(J28="","",J28*Settings!$B$3*IF(D28="",1,D28)))</f>
        <v/>
      </c>
      <c r="F28" s="17"/>
      <c r="G28" s="17" t="str">
        <f>IFERROR(INDEX(Settings!$Q$7:$T$10,MATCH(B28,Settings!$P$7:$P$10,0),MATCH(C28,Settings!$Q$6:$T$6,0)),"")</f>
        <v/>
      </c>
      <c r="H28" s="9" t="str">
        <f t="shared" si="0"/>
        <v/>
      </c>
      <c r="I28" s="9" t="str">
        <f t="shared" si="1"/>
        <v/>
      </c>
      <c r="J28" s="16" t="str">
        <f>IF(OR(A28="",IF(H28="",$B$8,H28)="",IF(I28="",$B$9,I28)=""),"",IFERROR(NETWORKDAYS(IF(H28="",$B$8,H28),IF(I28="",$B$9,I28),INDEX(Settings!$J$7:$M$60,0,MATCH(C28,Settings!$J$6:$M$6,0))),NETWORKDAYS(IF(H28="",$B$8,H28),IF(I28="",$B$9,I28))))</f>
        <v/>
      </c>
      <c r="K28" s="18"/>
      <c r="L28" s="19">
        <f>IF(C28="",0,IFERROR(INDEX(Settings!$B$6:$B$9,MATCH(C28,Settings!$A$6:$A$9,0)),0))</f>
        <v>0</v>
      </c>
      <c r="M28" s="8">
        <f t="shared" si="2"/>
        <v>0</v>
      </c>
      <c r="N28" s="8">
        <f t="shared" si="3"/>
        <v>0</v>
      </c>
      <c r="O28" s="8">
        <f t="shared" si="4"/>
        <v>0</v>
      </c>
      <c r="P28" s="8">
        <f t="shared" si="5"/>
        <v>0</v>
      </c>
      <c r="Q28" s="19">
        <f>IF(C28="",0,IFERROR(INDEX(Settings!$C$6:$C$9,MATCH(C28,Settings!$A$6:$A$9,0)),0))</f>
        <v>0</v>
      </c>
    </row>
    <row r="29" spans="1:22" x14ac:dyDescent="0.2">
      <c r="A29" s="5"/>
      <c r="B29" s="5"/>
      <c r="C29" s="5"/>
      <c r="D29" s="15"/>
      <c r="E29" s="16" t="str">
        <f>IF(K29&lt;&gt;"",K29,IF(J29="","",J29*Settings!$B$3*IF(D29="",1,D29)))</f>
        <v/>
      </c>
      <c r="F29" s="17"/>
      <c r="G29" s="17" t="str">
        <f>IFERROR(INDEX(Settings!$Q$7:$T$10,MATCH(B29,Settings!$P$7:$P$10,0),MATCH(C29,Settings!$Q$6:$T$6,0)),"")</f>
        <v/>
      </c>
      <c r="H29" s="9" t="str">
        <f t="shared" si="0"/>
        <v/>
      </c>
      <c r="I29" s="9" t="str">
        <f t="shared" si="1"/>
        <v/>
      </c>
      <c r="J29" s="16" t="str">
        <f>IF(OR(A29="",IF(H29="",$B$8,H29)="",IF(I29="",$B$9,I29)=""),"",IFERROR(NETWORKDAYS(IF(H29="",$B$8,H29),IF(I29="",$B$9,I29),INDEX(Settings!$J$7:$M$60,0,MATCH(C29,Settings!$J$6:$M$6,0))),NETWORKDAYS(IF(H29="",$B$8,H29),IF(I29="",$B$9,I29))))</f>
        <v/>
      </c>
      <c r="K29" s="18"/>
      <c r="L29" s="19">
        <f>IF(C29="",0,IFERROR(INDEX(Settings!$B$6:$B$9,MATCH(C29,Settings!$A$6:$A$9,0)),0))</f>
        <v>0</v>
      </c>
      <c r="M29" s="8">
        <f t="shared" si="2"/>
        <v>0</v>
      </c>
      <c r="N29" s="8">
        <f t="shared" si="3"/>
        <v>0</v>
      </c>
      <c r="O29" s="8">
        <f t="shared" si="4"/>
        <v>0</v>
      </c>
      <c r="P29" s="8">
        <f t="shared" si="5"/>
        <v>0</v>
      </c>
      <c r="Q29" s="19">
        <f>IF(C29="",0,IFERROR(INDEX(Settings!$C$6:$C$9,MATCH(C29,Settings!$A$6:$A$9,0)),0))</f>
        <v>0</v>
      </c>
    </row>
    <row r="30" spans="1:22" x14ac:dyDescent="0.2">
      <c r="A30" s="5"/>
      <c r="B30" s="5"/>
      <c r="C30" s="5"/>
      <c r="D30" s="15"/>
      <c r="E30" s="16" t="str">
        <f>IF(K30&lt;&gt;"",K30,IF(J30="","",J30*Settings!$B$3*IF(D30="",1,D30)))</f>
        <v/>
      </c>
      <c r="F30" s="17"/>
      <c r="G30" s="17" t="str">
        <f>IFERROR(INDEX(Settings!$Q$7:$T$10,MATCH(B30,Settings!$P$7:$P$10,0),MATCH(C30,Settings!$Q$6:$T$6,0)),"")</f>
        <v/>
      </c>
      <c r="H30" s="9" t="str">
        <f t="shared" si="0"/>
        <v/>
      </c>
      <c r="I30" s="9" t="str">
        <f t="shared" si="1"/>
        <v/>
      </c>
      <c r="J30" s="16" t="str">
        <f>IF(OR(A30="",IF(H30="",$B$8,H30)="",IF(I30="",$B$9,I30)=""),"",IFERROR(NETWORKDAYS(IF(H30="",$B$8,H30),IF(I30="",$B$9,I30),INDEX(Settings!$J$7:$M$60,0,MATCH(C30,Settings!$J$6:$M$6,0))),NETWORKDAYS(IF(H30="",$B$8,H30),IF(I30="",$B$9,I30))))</f>
        <v/>
      </c>
      <c r="K30" s="18"/>
      <c r="L30" s="19">
        <f>IF(C30="",0,IFERROR(INDEX(Settings!$B$6:$B$9,MATCH(C30,Settings!$A$6:$A$9,0)),0))</f>
        <v>0</v>
      </c>
      <c r="M30" s="8">
        <f t="shared" si="2"/>
        <v>0</v>
      </c>
      <c r="N30" s="8">
        <f t="shared" si="3"/>
        <v>0</v>
      </c>
      <c r="O30" s="8">
        <f t="shared" si="4"/>
        <v>0</v>
      </c>
      <c r="P30" s="8">
        <f t="shared" si="5"/>
        <v>0</v>
      </c>
      <c r="Q30" s="19">
        <f>IF(C30="",0,IFERROR(INDEX(Settings!$C$6:$C$9,MATCH(C30,Settings!$A$6:$A$9,0)),0))</f>
        <v>0</v>
      </c>
      <c r="S30" s="4" t="s">
        <v>48</v>
      </c>
    </row>
    <row r="31" spans="1:22" x14ac:dyDescent="0.2">
      <c r="A31" s="5"/>
      <c r="B31" s="5"/>
      <c r="C31" s="5"/>
      <c r="D31" s="15"/>
      <c r="E31" s="16" t="str">
        <f>IF(K31&lt;&gt;"",K31,IF(J31="","",J31*Settings!$B$3*IF(D31="",1,D31)))</f>
        <v/>
      </c>
      <c r="F31" s="17"/>
      <c r="G31" s="17" t="str">
        <f>IFERROR(INDEX(Settings!$Q$7:$T$10,MATCH(B31,Settings!$P$7:$P$10,0),MATCH(C31,Settings!$Q$6:$T$6,0)),"")</f>
        <v/>
      </c>
      <c r="H31" s="9" t="str">
        <f t="shared" si="0"/>
        <v/>
      </c>
      <c r="I31" s="9" t="str">
        <f t="shared" si="1"/>
        <v/>
      </c>
      <c r="J31" s="16" t="str">
        <f>IF(OR(A31="",IF(H31="",$B$8,H31)="",IF(I31="",$B$9,I31)=""),"",IFERROR(NETWORKDAYS(IF(H31="",$B$8,H31),IF(I31="",$B$9,I31),INDEX(Settings!$J$7:$M$60,0,MATCH(C31,Settings!$J$6:$M$6,0))),NETWORKDAYS(IF(H31="",$B$8,H31),IF(I31="",$B$9,I31))))</f>
        <v/>
      </c>
      <c r="K31" s="18"/>
      <c r="L31" s="19">
        <f>IF(C31="",0,IFERROR(INDEX(Settings!$B$6:$B$9,MATCH(C31,Settings!$A$6:$A$9,0)),0))</f>
        <v>0</v>
      </c>
      <c r="M31" s="8">
        <f t="shared" si="2"/>
        <v>0</v>
      </c>
      <c r="N31" s="8">
        <f t="shared" si="3"/>
        <v>0</v>
      </c>
      <c r="O31" s="8">
        <f t="shared" si="4"/>
        <v>0</v>
      </c>
      <c r="P31" s="8">
        <f t="shared" si="5"/>
        <v>0</v>
      </c>
      <c r="Q31" s="19">
        <f>IF(C31="",0,IFERROR(INDEX(Settings!$C$6:$C$9,MATCH(C31,Settings!$A$6:$A$9,0)),0))</f>
        <v>0</v>
      </c>
      <c r="S31" s="23" t="s">
        <v>49</v>
      </c>
    </row>
    <row r="32" spans="1:22" x14ac:dyDescent="0.2">
      <c r="A32" s="5"/>
      <c r="B32" s="5"/>
      <c r="C32" s="5"/>
      <c r="D32" s="15"/>
      <c r="E32" s="16" t="str">
        <f>IF(K32&lt;&gt;"",K32,IF(J32="","",J32*Settings!$B$3*IF(D32="",1,D32)))</f>
        <v/>
      </c>
      <c r="F32" s="17"/>
      <c r="G32" s="17" t="str">
        <f>IFERROR(INDEX(Settings!$Q$7:$T$10,MATCH(B32,Settings!$P$7:$P$10,0),MATCH(C32,Settings!$Q$6:$T$6,0)),"")</f>
        <v/>
      </c>
      <c r="H32" s="9" t="str">
        <f t="shared" si="0"/>
        <v/>
      </c>
      <c r="I32" s="9" t="str">
        <f t="shared" si="1"/>
        <v/>
      </c>
      <c r="J32" s="16" t="str">
        <f>IF(OR(A32="",IF(H32="",$B$8,H32)="",IF(I32="",$B$9,I32)=""),"",IFERROR(NETWORKDAYS(IF(H32="",$B$8,H32),IF(I32="",$B$9,I32),INDEX(Settings!$J$7:$M$60,0,MATCH(C32,Settings!$J$6:$M$6,0))),NETWORKDAYS(IF(H32="",$B$8,H32),IF(I32="",$B$9,I32))))</f>
        <v/>
      </c>
      <c r="K32" s="18"/>
      <c r="L32" s="19">
        <f>IF(C32="",0,IFERROR(INDEX(Settings!$B$6:$B$9,MATCH(C32,Settings!$A$6:$A$9,0)),0))</f>
        <v>0</v>
      </c>
      <c r="M32" s="8">
        <f t="shared" si="2"/>
        <v>0</v>
      </c>
      <c r="N32" s="8">
        <f t="shared" si="3"/>
        <v>0</v>
      </c>
      <c r="O32" s="8">
        <f t="shared" si="4"/>
        <v>0</v>
      </c>
      <c r="P32" s="8">
        <f t="shared" si="5"/>
        <v>0</v>
      </c>
      <c r="Q32" s="19">
        <f>IF(C32="",0,IFERROR(INDEX(Settings!$C$6:$C$9,MATCH(C32,Settings!$A$6:$A$9,0)),0))</f>
        <v>0</v>
      </c>
      <c r="S32" s="23" t="s">
        <v>50</v>
      </c>
    </row>
    <row r="33" spans="1:19" x14ac:dyDescent="0.2">
      <c r="A33" s="5"/>
      <c r="B33" s="5"/>
      <c r="C33" s="5"/>
      <c r="D33" s="15"/>
      <c r="E33" s="16" t="str">
        <f>IF(K33&lt;&gt;"",K33,IF(J33="","",J33*Settings!$B$3*IF(D33="",1,D33)))</f>
        <v/>
      </c>
      <c r="F33" s="17"/>
      <c r="G33" s="17" t="str">
        <f>IFERROR(INDEX(Settings!$Q$7:$T$10,MATCH(B33,Settings!$P$7:$P$10,0),MATCH(C33,Settings!$Q$6:$T$6,0)),"")</f>
        <v/>
      </c>
      <c r="H33" s="9" t="str">
        <f t="shared" si="0"/>
        <v/>
      </c>
      <c r="I33" s="9" t="str">
        <f t="shared" si="1"/>
        <v/>
      </c>
      <c r="J33" s="16" t="str">
        <f>IF(OR(A33="",IF(H33="",$B$8,H33)="",IF(I33="",$B$9,I33)=""),"",IFERROR(NETWORKDAYS(IF(H33="",$B$8,H33),IF(I33="",$B$9,I33),INDEX(Settings!$J$7:$M$60,0,MATCH(C33,Settings!$J$6:$M$6,0))),NETWORKDAYS(IF(H33="",$B$8,H33),IF(I33="",$B$9,I33))))</f>
        <v/>
      </c>
      <c r="K33" s="18"/>
      <c r="L33" s="19">
        <f>IF(C33="",0,IFERROR(INDEX(Settings!$B$6:$B$9,MATCH(C33,Settings!$A$6:$A$9,0)),0))</f>
        <v>0</v>
      </c>
      <c r="M33" s="8">
        <f t="shared" si="2"/>
        <v>0</v>
      </c>
      <c r="N33" s="8">
        <f t="shared" si="3"/>
        <v>0</v>
      </c>
      <c r="O33" s="8">
        <f t="shared" si="4"/>
        <v>0</v>
      </c>
      <c r="P33" s="8">
        <f t="shared" si="5"/>
        <v>0</v>
      </c>
      <c r="Q33" s="19">
        <f>IF(C33="",0,IFERROR(INDEX(Settings!$C$6:$C$9,MATCH(C33,Settings!$A$6:$A$9,0)),0))</f>
        <v>0</v>
      </c>
      <c r="S33" s="23" t="s">
        <v>51</v>
      </c>
    </row>
    <row r="34" spans="1:19" x14ac:dyDescent="0.2">
      <c r="A34" s="5"/>
      <c r="B34" s="5"/>
      <c r="C34" s="5"/>
      <c r="D34" s="15"/>
      <c r="E34" s="16" t="str">
        <f>IF(K34&lt;&gt;"",K34,IF(J34="","",J34*Settings!$B$3*IF(D34="",1,D34)))</f>
        <v/>
      </c>
      <c r="F34" s="17"/>
      <c r="G34" s="17" t="str">
        <f>IFERROR(INDEX(Settings!$Q$7:$T$10,MATCH(B34,Settings!$P$7:$P$10,0),MATCH(C34,Settings!$Q$6:$T$6,0)),"")</f>
        <v/>
      </c>
      <c r="H34" s="9" t="str">
        <f t="shared" si="0"/>
        <v/>
      </c>
      <c r="I34" s="9" t="str">
        <f t="shared" si="1"/>
        <v/>
      </c>
      <c r="J34" s="16" t="str">
        <f>IF(OR(A34="",IF(H34="",$B$8,H34)="",IF(I34="",$B$9,I34)=""),"",IFERROR(NETWORKDAYS(IF(H34="",$B$8,H34),IF(I34="",$B$9,I34),INDEX(Settings!$J$7:$M$60,0,MATCH(C34,Settings!$J$6:$M$6,0))),NETWORKDAYS(IF(H34="",$B$8,H34),IF(I34="",$B$9,I34))))</f>
        <v/>
      </c>
      <c r="K34" s="18"/>
      <c r="L34" s="19">
        <f>IF(C34="",0,IFERROR(INDEX(Settings!$B$6:$B$9,MATCH(C34,Settings!$A$6:$A$9,0)),0))</f>
        <v>0</v>
      </c>
      <c r="M34" s="8">
        <f t="shared" si="2"/>
        <v>0</v>
      </c>
      <c r="N34" s="8">
        <f t="shared" si="3"/>
        <v>0</v>
      </c>
      <c r="O34" s="8">
        <f t="shared" si="4"/>
        <v>0</v>
      </c>
      <c r="P34" s="8">
        <f t="shared" si="5"/>
        <v>0</v>
      </c>
      <c r="Q34" s="19">
        <f>IF(C34="",0,IFERROR(INDEX(Settings!$C$6:$C$9,MATCH(C34,Settings!$A$6:$A$9,0)),0))</f>
        <v>0</v>
      </c>
      <c r="S34" s="23" t="s">
        <v>52</v>
      </c>
    </row>
    <row r="35" spans="1:19" x14ac:dyDescent="0.2">
      <c r="A35" s="5"/>
      <c r="B35" s="5"/>
      <c r="C35" s="5"/>
      <c r="D35" s="15"/>
      <c r="E35" s="16" t="str">
        <f>IF(K35&lt;&gt;"",K35,IF(J35="","",J35*Settings!$B$3*IF(D35="",1,D35)))</f>
        <v/>
      </c>
      <c r="F35" s="17"/>
      <c r="G35" s="17" t="str">
        <f>IFERROR(INDEX(Settings!$Q$7:$T$10,MATCH(B35,Settings!$P$7:$P$10,0),MATCH(C35,Settings!$Q$6:$T$6,0)),"")</f>
        <v/>
      </c>
      <c r="H35" s="9" t="str">
        <f t="shared" si="0"/>
        <v/>
      </c>
      <c r="I35" s="9" t="str">
        <f t="shared" si="1"/>
        <v/>
      </c>
      <c r="J35" s="16" t="str">
        <f>IF(OR(A35="",IF(H35="",$B$8,H35)="",IF(I35="",$B$9,I35)=""),"",IFERROR(NETWORKDAYS(IF(H35="",$B$8,H35),IF(I35="",$B$9,I35),INDEX(Settings!$J$7:$M$60,0,MATCH(C35,Settings!$J$6:$M$6,0))),NETWORKDAYS(IF(H35="",$B$8,H35),IF(I35="",$B$9,I35))))</f>
        <v/>
      </c>
      <c r="K35" s="18"/>
      <c r="L35" s="19">
        <f>IF(C35="",0,IFERROR(INDEX(Settings!$B$6:$B$9,MATCH(C35,Settings!$A$6:$A$9,0)),0))</f>
        <v>0</v>
      </c>
      <c r="M35" s="8">
        <f t="shared" si="2"/>
        <v>0</v>
      </c>
      <c r="N35" s="8">
        <f t="shared" si="3"/>
        <v>0</v>
      </c>
      <c r="O35" s="8">
        <f t="shared" si="4"/>
        <v>0</v>
      </c>
      <c r="P35" s="8">
        <f t="shared" si="5"/>
        <v>0</v>
      </c>
      <c r="Q35" s="19">
        <f>IF(C35="",0,IFERROR(INDEX(Settings!$C$6:$C$9,MATCH(C35,Settings!$A$6:$A$9,0)),0))</f>
        <v>0</v>
      </c>
      <c r="S35" s="23" t="s">
        <v>53</v>
      </c>
    </row>
    <row r="36" spans="1:19" x14ac:dyDescent="0.2">
      <c r="A36" s="5"/>
      <c r="B36" s="5"/>
      <c r="C36" s="5"/>
      <c r="D36" s="15"/>
      <c r="E36" s="16" t="str">
        <f>IF(K36&lt;&gt;"",K36,IF(J36="","",J36*Settings!$B$3*IF(D36="",1,D36)))</f>
        <v/>
      </c>
      <c r="F36" s="17"/>
      <c r="G36" s="17" t="str">
        <f>IFERROR(INDEX(Settings!$Q$7:$T$10,MATCH(B36,Settings!$P$7:$P$10,0),MATCH(C36,Settings!$Q$6:$T$6,0)),"")</f>
        <v/>
      </c>
      <c r="H36" s="9" t="str">
        <f t="shared" si="0"/>
        <v/>
      </c>
      <c r="I36" s="9" t="str">
        <f t="shared" si="1"/>
        <v/>
      </c>
      <c r="J36" s="16" t="str">
        <f>IF(OR(A36="",IF(H36="",$B$8,H36)="",IF(I36="",$B$9,I36)=""),"",IFERROR(NETWORKDAYS(IF(H36="",$B$8,H36),IF(I36="",$B$9,I36),INDEX(Settings!$J$7:$M$60,0,MATCH(C36,Settings!$J$6:$M$6,0))),NETWORKDAYS(IF(H36="",$B$8,H36),IF(I36="",$B$9,I36))))</f>
        <v/>
      </c>
      <c r="K36" s="18"/>
      <c r="L36" s="19">
        <f>IF(C36="",0,IFERROR(INDEX(Settings!$B$6:$B$9,MATCH(C36,Settings!$A$6:$A$9,0)),0))</f>
        <v>0</v>
      </c>
      <c r="M36" s="8">
        <f t="shared" si="2"/>
        <v>0</v>
      </c>
      <c r="N36" s="8">
        <f t="shared" si="3"/>
        <v>0</v>
      </c>
      <c r="O36" s="8">
        <f t="shared" si="4"/>
        <v>0</v>
      </c>
      <c r="P36" s="8">
        <f t="shared" si="5"/>
        <v>0</v>
      </c>
      <c r="Q36" s="19">
        <f>IF(C36="",0,IFERROR(INDEX(Settings!$C$6:$C$9,MATCH(C36,Settings!$A$6:$A$9,0)),0))</f>
        <v>0</v>
      </c>
      <c r="S36" s="23" t="s">
        <v>54</v>
      </c>
    </row>
    <row r="37" spans="1:19" x14ac:dyDescent="0.2">
      <c r="A37" s="24" t="s">
        <v>55</v>
      </c>
      <c r="B37" s="24"/>
      <c r="C37" s="24"/>
      <c r="D37" s="24"/>
      <c r="E37" s="25">
        <f>SUM(E17:E36)</f>
        <v>208.32</v>
      </c>
      <c r="F37" s="24"/>
      <c r="G37" s="24"/>
      <c r="H37" s="24"/>
      <c r="I37" s="24"/>
      <c r="J37" s="24"/>
      <c r="K37" s="24"/>
      <c r="L37" s="24"/>
      <c r="M37" s="26">
        <f>SUM(M17:M36)</f>
        <v>0</v>
      </c>
      <c r="N37" s="26">
        <f>SUM(N17:N36)</f>
        <v>27416.121599999999</v>
      </c>
      <c r="O37" s="26">
        <f>SUM(O17:O36)</f>
        <v>3143.0837759999999</v>
      </c>
      <c r="P37" s="26">
        <f>SUM(P17:P36)</f>
        <v>30559.205375999998</v>
      </c>
      <c r="Q37" s="24"/>
      <c r="S37" s="23" t="s">
        <v>56</v>
      </c>
    </row>
    <row r="38" spans="1:19" x14ac:dyDescent="0.2">
      <c r="S38" s="23" t="s">
        <v>57</v>
      </c>
    </row>
    <row r="39" spans="1:19" ht="24" customHeight="1" x14ac:dyDescent="0.2">
      <c r="A39" s="4" t="s">
        <v>58</v>
      </c>
      <c r="S39" s="23" t="s">
        <v>59</v>
      </c>
    </row>
    <row r="40" spans="1:19" ht="87" customHeight="1" x14ac:dyDescent="0.2">
      <c r="A40" s="1" t="s">
        <v>60</v>
      </c>
      <c r="B40" s="1" t="s">
        <v>61</v>
      </c>
      <c r="C40" s="1" t="s">
        <v>44</v>
      </c>
      <c r="D40" s="1" t="s">
        <v>62</v>
      </c>
      <c r="E40" s="1" t="s">
        <v>63</v>
      </c>
      <c r="F40" s="1" t="s">
        <v>64</v>
      </c>
      <c r="G40" s="1" t="s">
        <v>65</v>
      </c>
      <c r="H40" s="1" t="s">
        <v>66</v>
      </c>
      <c r="I40" s="1" t="s">
        <v>67</v>
      </c>
    </row>
    <row r="41" spans="1:19" x14ac:dyDescent="0.2">
      <c r="A41" s="5" t="s">
        <v>126</v>
      </c>
      <c r="B41" s="5" t="s">
        <v>82</v>
      </c>
      <c r="C41" s="5" t="s">
        <v>79</v>
      </c>
      <c r="D41" s="12">
        <v>1000</v>
      </c>
      <c r="E41" s="5" t="s">
        <v>129</v>
      </c>
      <c r="F41" s="5" t="s">
        <v>135</v>
      </c>
      <c r="G41" s="8">
        <f t="shared" ref="G41:G52" si="6">IF(OR($B$13&lt;&gt;"Y",D41=""),0,D41*IF(E41="Monthly",IF($B$10="",1,$B$10),1))</f>
        <v>1000</v>
      </c>
      <c r="H41" s="8">
        <f t="shared" ref="H41:H52" si="7">IF(UPPER(F41)="Y",G41,0)</f>
        <v>0</v>
      </c>
      <c r="I41" s="6" t="str">
        <f t="shared" ref="I41:I52" si="8">IF($B$13="N","Not counted (B13 = N)",IF(D41="","",IF($B$13="","Answer B13 first",IF(F41="","Pick Billed to client Y/N","OK"))))</f>
        <v>OK</v>
      </c>
    </row>
    <row r="42" spans="1:19" x14ac:dyDescent="0.2">
      <c r="A42" s="5" t="s">
        <v>127</v>
      </c>
      <c r="B42" s="5" t="s">
        <v>82</v>
      </c>
      <c r="C42" s="5" t="s">
        <v>79</v>
      </c>
      <c r="D42" s="12">
        <v>1000</v>
      </c>
      <c r="E42" s="5" t="s">
        <v>129</v>
      </c>
      <c r="F42" s="5" t="s">
        <v>135</v>
      </c>
      <c r="G42" s="8">
        <f t="shared" si="6"/>
        <v>1000</v>
      </c>
      <c r="H42" s="8">
        <f t="shared" si="7"/>
        <v>0</v>
      </c>
      <c r="I42" s="6" t="str">
        <f t="shared" si="8"/>
        <v>OK</v>
      </c>
    </row>
    <row r="43" spans="1:19" x14ac:dyDescent="0.2">
      <c r="A43" s="5" t="s">
        <v>128</v>
      </c>
      <c r="B43" s="5" t="s">
        <v>82</v>
      </c>
      <c r="C43" s="5" t="s">
        <v>79</v>
      </c>
      <c r="D43" s="12">
        <v>1000</v>
      </c>
      <c r="E43" s="5" t="s">
        <v>129</v>
      </c>
      <c r="F43" s="5" t="s">
        <v>135</v>
      </c>
      <c r="G43" s="8">
        <f t="shared" si="6"/>
        <v>1000</v>
      </c>
      <c r="H43" s="8">
        <f t="shared" si="7"/>
        <v>0</v>
      </c>
      <c r="I43" s="6" t="str">
        <f t="shared" si="8"/>
        <v>OK</v>
      </c>
    </row>
    <row r="44" spans="1:19" x14ac:dyDescent="0.2">
      <c r="A44" s="5"/>
      <c r="B44" s="5"/>
      <c r="C44" s="5"/>
      <c r="D44" s="12"/>
      <c r="E44" s="5"/>
      <c r="F44" s="5"/>
      <c r="G44" s="8">
        <f t="shared" si="6"/>
        <v>0</v>
      </c>
      <c r="H44" s="8">
        <f t="shared" si="7"/>
        <v>0</v>
      </c>
      <c r="I44" s="6" t="str">
        <f t="shared" si="8"/>
        <v/>
      </c>
    </row>
    <row r="45" spans="1:19" x14ac:dyDescent="0.2">
      <c r="A45" s="5"/>
      <c r="B45" s="5"/>
      <c r="C45" s="5"/>
      <c r="D45" s="12"/>
      <c r="E45" s="5"/>
      <c r="F45" s="5"/>
      <c r="G45" s="8">
        <f t="shared" si="6"/>
        <v>0</v>
      </c>
      <c r="H45" s="8">
        <f t="shared" si="7"/>
        <v>0</v>
      </c>
      <c r="I45" s="6" t="str">
        <f t="shared" si="8"/>
        <v/>
      </c>
    </row>
    <row r="46" spans="1:19" x14ac:dyDescent="0.2">
      <c r="A46" s="5"/>
      <c r="B46" s="5"/>
      <c r="C46" s="5"/>
      <c r="D46" s="12"/>
      <c r="E46" s="5"/>
      <c r="F46" s="5"/>
      <c r="G46" s="8">
        <f t="shared" si="6"/>
        <v>0</v>
      </c>
      <c r="H46" s="8">
        <f t="shared" si="7"/>
        <v>0</v>
      </c>
      <c r="I46" s="6" t="str">
        <f t="shared" si="8"/>
        <v/>
      </c>
    </row>
    <row r="47" spans="1:19" x14ac:dyDescent="0.2">
      <c r="A47" s="5"/>
      <c r="B47" s="5"/>
      <c r="C47" s="5"/>
      <c r="D47" s="12"/>
      <c r="E47" s="5"/>
      <c r="F47" s="5"/>
      <c r="G47" s="8">
        <f t="shared" si="6"/>
        <v>0</v>
      </c>
      <c r="H47" s="8">
        <f t="shared" si="7"/>
        <v>0</v>
      </c>
      <c r="I47" s="6" t="str">
        <f t="shared" si="8"/>
        <v/>
      </c>
    </row>
    <row r="48" spans="1:19" x14ac:dyDescent="0.2">
      <c r="A48" s="5"/>
      <c r="B48" s="5"/>
      <c r="C48" s="5"/>
      <c r="D48" s="12"/>
      <c r="E48" s="5"/>
      <c r="F48" s="5"/>
      <c r="G48" s="8">
        <f t="shared" si="6"/>
        <v>0</v>
      </c>
      <c r="H48" s="8">
        <f t="shared" si="7"/>
        <v>0</v>
      </c>
      <c r="I48" s="6" t="str">
        <f t="shared" si="8"/>
        <v/>
      </c>
    </row>
    <row r="49" spans="1:9" x14ac:dyDescent="0.2">
      <c r="A49" s="5"/>
      <c r="B49" s="5"/>
      <c r="C49" s="5"/>
      <c r="D49" s="12"/>
      <c r="E49" s="5"/>
      <c r="F49" s="5"/>
      <c r="G49" s="8">
        <f t="shared" si="6"/>
        <v>0</v>
      </c>
      <c r="H49" s="8">
        <f t="shared" si="7"/>
        <v>0</v>
      </c>
      <c r="I49" s="6" t="str">
        <f t="shared" si="8"/>
        <v/>
      </c>
    </row>
    <row r="50" spans="1:9" x14ac:dyDescent="0.2">
      <c r="A50" s="5"/>
      <c r="B50" s="5"/>
      <c r="C50" s="5"/>
      <c r="D50" s="12"/>
      <c r="E50" s="5"/>
      <c r="F50" s="5"/>
      <c r="G50" s="8">
        <f t="shared" si="6"/>
        <v>0</v>
      </c>
      <c r="H50" s="8">
        <f t="shared" si="7"/>
        <v>0</v>
      </c>
      <c r="I50" s="6" t="str">
        <f t="shared" si="8"/>
        <v/>
      </c>
    </row>
    <row r="51" spans="1:9" x14ac:dyDescent="0.2">
      <c r="A51" s="5"/>
      <c r="B51" s="5"/>
      <c r="C51" s="5"/>
      <c r="D51" s="12"/>
      <c r="E51" s="5"/>
      <c r="F51" s="5"/>
      <c r="G51" s="8">
        <f t="shared" si="6"/>
        <v>0</v>
      </c>
      <c r="H51" s="8">
        <f t="shared" si="7"/>
        <v>0</v>
      </c>
      <c r="I51" s="6" t="str">
        <f t="shared" si="8"/>
        <v/>
      </c>
    </row>
    <row r="52" spans="1:9" x14ac:dyDescent="0.2">
      <c r="A52" s="5"/>
      <c r="B52" s="5"/>
      <c r="C52" s="5"/>
      <c r="D52" s="12"/>
      <c r="E52" s="5"/>
      <c r="F52" s="5"/>
      <c r="G52" s="8">
        <f t="shared" si="6"/>
        <v>0</v>
      </c>
      <c r="H52" s="8">
        <f t="shared" si="7"/>
        <v>0</v>
      </c>
      <c r="I52" s="6" t="str">
        <f t="shared" si="8"/>
        <v/>
      </c>
    </row>
    <row r="53" spans="1:9" x14ac:dyDescent="0.2">
      <c r="A53" s="24" t="s">
        <v>68</v>
      </c>
      <c r="B53" s="24"/>
      <c r="C53" s="24"/>
      <c r="D53" s="24"/>
      <c r="E53" s="24"/>
      <c r="F53" s="24"/>
      <c r="G53" s="26">
        <f>SUM(G41:G52)</f>
        <v>3000</v>
      </c>
      <c r="H53" s="26">
        <f>SUM(H41:H52)</f>
        <v>0</v>
      </c>
      <c r="I53" s="24"/>
    </row>
    <row r="54" spans="1:9" x14ac:dyDescent="0.2">
      <c r="A54" s="3" t="s">
        <v>69</v>
      </c>
    </row>
  </sheetData>
  <conditionalFormatting sqref="A40:I53">
    <cfRule type="expression" dxfId="10" priority="7">
      <formula>$B$13="N"</formula>
    </cfRule>
  </conditionalFormatting>
  <conditionalFormatting sqref="B11">
    <cfRule type="expression" dxfId="9" priority="3">
      <formula>NOT(OR($B$4="Fixed cost",$B$4="Assessment"))</formula>
    </cfRule>
  </conditionalFormatting>
  <conditionalFormatting sqref="B12">
    <cfRule type="expression" dxfId="8" priority="4">
      <formula>$B$4&lt;&gt;"MSP"</formula>
    </cfRule>
  </conditionalFormatting>
  <conditionalFormatting sqref="E17:E36">
    <cfRule type="expression" dxfId="7" priority="8">
      <formula>$A17=""</formula>
    </cfRule>
  </conditionalFormatting>
  <conditionalFormatting sqref="F17:F36">
    <cfRule type="expression" dxfId="6" priority="5">
      <formula>$B$4&lt;&gt;"Time &amp; materials"</formula>
    </cfRule>
  </conditionalFormatting>
  <conditionalFormatting sqref="G41:I52">
    <cfRule type="expression" dxfId="5" priority="11">
      <formula>$A41=""</formula>
    </cfRule>
  </conditionalFormatting>
  <conditionalFormatting sqref="I41:I52">
    <cfRule type="expression" dxfId="4" priority="2">
      <formula>OR(LEFT(I41,4)="Pick",LEFT(I41,6)="Answer")</formula>
    </cfRule>
  </conditionalFormatting>
  <conditionalFormatting sqref="J17:J36">
    <cfRule type="expression" dxfId="3" priority="9">
      <formula>$A17=""</formula>
    </cfRule>
  </conditionalFormatting>
  <conditionalFormatting sqref="L17:Q36">
    <cfRule type="expression" dxfId="2" priority="10">
      <formula>$A17=""</formula>
    </cfRule>
  </conditionalFormatting>
  <conditionalFormatting sqref="M17:M37">
    <cfRule type="expression" dxfId="1" priority="6">
      <formula>$B$4&lt;&gt;"Time &amp; materials"</formula>
    </cfRule>
  </conditionalFormatting>
  <dataValidations count="4">
    <dataValidation type="list" allowBlank="1" sqref="B13 F41:F52" xr:uid="{00000000-0002-0000-0000-000001000000}">
      <formula1>"Y,N"</formula1>
      <formula2>0</formula2>
    </dataValidation>
    <dataValidation type="list" allowBlank="1" sqref="E41:E52" xr:uid="{00000000-0002-0000-0000-000005000000}">
      <formula1>"One-time,Monthly"</formula1>
      <formula2>0</formula2>
    </dataValidation>
    <dataValidation type="decimal" allowBlank="1" sqref="D17:D36" xr:uid="{00000000-0002-0000-0000-000006000000}">
      <formula1>0</formula1>
      <formula2>1</formula2>
    </dataValidation>
    <dataValidation type="list" allowBlank="1" sqref="B7" xr:uid="{00000000-0002-0000-0000-000007000000}">
      <formula1>"USD,INR,GBP,EUR,CAD"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xr:uid="{00000000-0002-0000-0000-000000000000}">
          <x14:formula1>
            <xm:f>Settings!$F$15:$F$18</xm:f>
          </x14:formula1>
          <x14:formula2>
            <xm:f>0</xm:f>
          </x14:formula2>
          <xm:sqref>B4</xm:sqref>
        </x14:dataValidation>
        <x14:dataValidation type="list" allowBlank="1" xr:uid="{00000000-0002-0000-0000-000002000000}">
          <x14:formula1>
            <xm:f>Settings!$A$6:$A$9</xm:f>
          </x14:formula1>
          <x14:formula2>
            <xm:f>0</xm:f>
          </x14:formula2>
          <xm:sqref>C17:C36 C41:C52</xm:sqref>
        </x14:dataValidation>
        <x14:dataValidation type="list" allowBlank="1" xr:uid="{00000000-0002-0000-0000-000003000000}">
          <x14:formula1>
            <xm:f>Settings!$F$6:$F$9</xm:f>
          </x14:formula1>
          <x14:formula2>
            <xm:f>0</xm:f>
          </x14:formula2>
          <xm:sqref>B17:B36</xm:sqref>
        </x14:dataValidation>
        <x14:dataValidation type="list" allowBlank="1" xr:uid="{00000000-0002-0000-0000-000004000000}">
          <x14:formula1>
            <xm:f>Settings!$H$6:$H$12</xm:f>
          </x14:formula1>
          <x14:formula2>
            <xm:f>0</xm:f>
          </x14:formula2>
          <xm:sqref>B41:B52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62"/>
  <sheetViews>
    <sheetView zoomScaleNormal="100" workbookViewId="0">
      <pane xSplit="2" ySplit="7" topLeftCell="C41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6640625" defaultRowHeight="15" x14ac:dyDescent="0.2"/>
  <cols>
    <col min="1" max="1" width="6" customWidth="1"/>
    <col min="2" max="2" width="34" customWidth="1"/>
    <col min="3" max="27" width="11" customWidth="1"/>
  </cols>
  <sheetData>
    <row r="1" spans="1:27" ht="18" x14ac:dyDescent="0.2">
      <c r="A1" s="2" t="s">
        <v>104</v>
      </c>
    </row>
    <row r="2" spans="1:27" x14ac:dyDescent="0.2">
      <c r="A2" s="3" t="s">
        <v>105</v>
      </c>
    </row>
    <row r="3" spans="1:27" x14ac:dyDescent="0.2">
      <c r="A3" s="31" t="str">
        <f>IF('Cost Margin'!$B$10="","Fill engagement type and project dates on the Cost Margin tab.",IF('Cost Margin'!$B$10&gt;2,"Monthly view REQUIRED — this engagement runs "&amp;TEXT('Cost Margin'!$B$10,"0.0")&amp;" months.","Not needed — this engagement is "&amp;TEXT('Cost Margin'!$B$10,"0.0")&amp;" month(s). Use the Cost Margin summary; everything below is greyed out."))</f>
        <v>Not needed — this engagement is 1.0 month(s). Use the Cost Margin summary; everything below is greyed out.</v>
      </c>
    </row>
    <row r="4" spans="1:27" x14ac:dyDescent="0.2">
      <c r="A4" s="4" t="s">
        <v>106</v>
      </c>
      <c r="C4" s="11">
        <f t="shared" ref="C4:Z4" si="0">IF(C5="","",(C6-C5+1)/DAY(EOMONTH(C5,0)))</f>
        <v>0.8</v>
      </c>
      <c r="D4" s="11">
        <f t="shared" si="0"/>
        <v>0.16129032258064516</v>
      </c>
      <c r="E4" s="11" t="str">
        <f t="shared" si="0"/>
        <v/>
      </c>
      <c r="F4" s="11" t="str">
        <f t="shared" si="0"/>
        <v/>
      </c>
      <c r="G4" s="11" t="str">
        <f t="shared" si="0"/>
        <v/>
      </c>
      <c r="H4" s="11" t="str">
        <f t="shared" si="0"/>
        <v/>
      </c>
      <c r="I4" s="11" t="str">
        <f t="shared" si="0"/>
        <v/>
      </c>
      <c r="J4" s="11" t="str">
        <f t="shared" si="0"/>
        <v/>
      </c>
      <c r="K4" s="11" t="str">
        <f t="shared" si="0"/>
        <v/>
      </c>
      <c r="L4" s="11" t="str">
        <f t="shared" si="0"/>
        <v/>
      </c>
      <c r="M4" s="11" t="str">
        <f t="shared" si="0"/>
        <v/>
      </c>
      <c r="N4" s="11" t="str">
        <f t="shared" si="0"/>
        <v/>
      </c>
      <c r="O4" s="11" t="str">
        <f t="shared" si="0"/>
        <v/>
      </c>
      <c r="P4" s="11" t="str">
        <f t="shared" si="0"/>
        <v/>
      </c>
      <c r="Q4" s="11" t="str">
        <f t="shared" si="0"/>
        <v/>
      </c>
      <c r="R4" s="11" t="str">
        <f t="shared" si="0"/>
        <v/>
      </c>
      <c r="S4" s="11" t="str">
        <f t="shared" si="0"/>
        <v/>
      </c>
      <c r="T4" s="11" t="str">
        <f t="shared" si="0"/>
        <v/>
      </c>
      <c r="U4" s="11" t="str">
        <f t="shared" si="0"/>
        <v/>
      </c>
      <c r="V4" s="11" t="str">
        <f t="shared" si="0"/>
        <v/>
      </c>
      <c r="W4" s="11" t="str">
        <f t="shared" si="0"/>
        <v/>
      </c>
      <c r="X4" s="11" t="str">
        <f t="shared" si="0"/>
        <v/>
      </c>
      <c r="Y4" s="11" t="str">
        <f t="shared" si="0"/>
        <v/>
      </c>
      <c r="Z4" s="11" t="str">
        <f t="shared" si="0"/>
        <v/>
      </c>
    </row>
    <row r="5" spans="1:27" x14ac:dyDescent="0.2">
      <c r="A5" s="4" t="s">
        <v>107</v>
      </c>
      <c r="B5" s="7">
        <f>IF(OR('Cost Margin'!$B$8="",'Cost Margin'!$B$9=""),"",(YEAR('Cost Margin'!$B$9)-YEAR('Cost Margin'!$B$8))*12+MONTH('Cost Margin'!$B$9)-MONTH('Cost Margin'!$B$8)+1)</f>
        <v>2</v>
      </c>
      <c r="C5" s="32">
        <f>IF('Cost Margin'!$B$8="","",'Cost Margin'!$B$8)</f>
        <v>46272</v>
      </c>
      <c r="D5" s="32">
        <f>IF(OR($C$5="",$B$5="",1&gt;=$B$5),"",EOMONTH($C$5,0)+1)</f>
        <v>46296</v>
      </c>
      <c r="E5" s="32" t="str">
        <f>IF(OR($C$5="",$B$5="",2&gt;=$B$5),"",EOMONTH($C$5,1)+1)</f>
        <v/>
      </c>
      <c r="F5" s="32" t="str">
        <f>IF(OR($C$5="",$B$5="",3&gt;=$B$5),"",EOMONTH($C$5,2)+1)</f>
        <v/>
      </c>
      <c r="G5" s="32" t="str">
        <f>IF(OR($C$5="",$B$5="",4&gt;=$B$5),"",EOMONTH($C$5,3)+1)</f>
        <v/>
      </c>
      <c r="H5" s="32" t="str">
        <f>IF(OR($C$5="",$B$5="",5&gt;=$B$5),"",EOMONTH($C$5,4)+1)</f>
        <v/>
      </c>
      <c r="I5" s="32" t="str">
        <f>IF(OR($C$5="",$B$5="",6&gt;=$B$5),"",EOMONTH($C$5,5)+1)</f>
        <v/>
      </c>
      <c r="J5" s="32" t="str">
        <f>IF(OR($C$5="",$B$5="",7&gt;=$B$5),"",EOMONTH($C$5,6)+1)</f>
        <v/>
      </c>
      <c r="K5" s="32" t="str">
        <f>IF(OR($C$5="",$B$5="",8&gt;=$B$5),"",EOMONTH($C$5,7)+1)</f>
        <v/>
      </c>
      <c r="L5" s="32" t="str">
        <f>IF(OR($C$5="",$B$5="",9&gt;=$B$5),"",EOMONTH($C$5,8)+1)</f>
        <v/>
      </c>
      <c r="M5" s="32" t="str">
        <f>IF(OR($C$5="",$B$5="",10&gt;=$B$5),"",EOMONTH($C$5,9)+1)</f>
        <v/>
      </c>
      <c r="N5" s="32" t="str">
        <f>IF(OR($C$5="",$B$5="",11&gt;=$B$5),"",EOMONTH($C$5,10)+1)</f>
        <v/>
      </c>
      <c r="O5" s="32" t="str">
        <f>IF(OR($C$5="",$B$5="",12&gt;=$B$5),"",EOMONTH($C$5,11)+1)</f>
        <v/>
      </c>
      <c r="P5" s="32" t="str">
        <f>IF(OR($C$5="",$B$5="",13&gt;=$B$5),"",EOMONTH($C$5,12)+1)</f>
        <v/>
      </c>
      <c r="Q5" s="32" t="str">
        <f>IF(OR($C$5="",$B$5="",14&gt;=$B$5),"",EOMONTH($C$5,13)+1)</f>
        <v/>
      </c>
      <c r="R5" s="32" t="str">
        <f>IF(OR($C$5="",$B$5="",15&gt;=$B$5),"",EOMONTH($C$5,14)+1)</f>
        <v/>
      </c>
      <c r="S5" s="32" t="str">
        <f>IF(OR($C$5="",$B$5="",16&gt;=$B$5),"",EOMONTH($C$5,15)+1)</f>
        <v/>
      </c>
      <c r="T5" s="32" t="str">
        <f>IF(OR($C$5="",$B$5="",17&gt;=$B$5),"",EOMONTH($C$5,16)+1)</f>
        <v/>
      </c>
      <c r="U5" s="32" t="str">
        <f>IF(OR($C$5="",$B$5="",18&gt;=$B$5),"",EOMONTH($C$5,17)+1)</f>
        <v/>
      </c>
      <c r="V5" s="32" t="str">
        <f>IF(OR($C$5="",$B$5="",19&gt;=$B$5),"",EOMONTH($C$5,18)+1)</f>
        <v/>
      </c>
      <c r="W5" s="32" t="str">
        <f>IF(OR($C$5="",$B$5="",20&gt;=$B$5),"",EOMONTH($C$5,19)+1)</f>
        <v/>
      </c>
      <c r="X5" s="32" t="str">
        <f>IF(OR($C$5="",$B$5="",21&gt;=$B$5),"",EOMONTH($C$5,20)+1)</f>
        <v/>
      </c>
      <c r="Y5" s="32" t="str">
        <f>IF(OR($C$5="",$B$5="",22&gt;=$B$5),"",EOMONTH($C$5,21)+1)</f>
        <v/>
      </c>
      <c r="Z5" s="32" t="str">
        <f>IF(OR($C$5="",$B$5="",23&gt;=$B$5),"",EOMONTH($C$5,22)+1)</f>
        <v/>
      </c>
    </row>
    <row r="6" spans="1:27" x14ac:dyDescent="0.2">
      <c r="A6" s="4" t="s">
        <v>108</v>
      </c>
      <c r="B6" s="3" t="s">
        <v>109</v>
      </c>
      <c r="C6" s="32">
        <f>IF(C5="","",MIN(EOMONTH(C5,0),'Cost Margin'!$B$9))</f>
        <v>46295</v>
      </c>
      <c r="D6" s="32">
        <f>IF(D5="","",MIN(EOMONTH(D5,0),'Cost Margin'!$B$9))</f>
        <v>46300</v>
      </c>
      <c r="E6" s="32" t="str">
        <f>IF(E5="","",MIN(EOMONTH(E5,0),'Cost Margin'!$B$9))</f>
        <v/>
      </c>
      <c r="F6" s="32" t="str">
        <f>IF(F5="","",MIN(EOMONTH(F5,0),'Cost Margin'!$B$9))</f>
        <v/>
      </c>
      <c r="G6" s="32" t="str">
        <f>IF(G5="","",MIN(EOMONTH(G5,0),'Cost Margin'!$B$9))</f>
        <v/>
      </c>
      <c r="H6" s="32" t="str">
        <f>IF(H5="","",MIN(EOMONTH(H5,0),'Cost Margin'!$B$9))</f>
        <v/>
      </c>
      <c r="I6" s="32" t="str">
        <f>IF(I5="","",MIN(EOMONTH(I5,0),'Cost Margin'!$B$9))</f>
        <v/>
      </c>
      <c r="J6" s="32" t="str">
        <f>IF(J5="","",MIN(EOMONTH(J5,0),'Cost Margin'!$B$9))</f>
        <v/>
      </c>
      <c r="K6" s="32" t="str">
        <f>IF(K5="","",MIN(EOMONTH(K5,0),'Cost Margin'!$B$9))</f>
        <v/>
      </c>
      <c r="L6" s="32" t="str">
        <f>IF(L5="","",MIN(EOMONTH(L5,0),'Cost Margin'!$B$9))</f>
        <v/>
      </c>
      <c r="M6" s="32" t="str">
        <f>IF(M5="","",MIN(EOMONTH(M5,0),'Cost Margin'!$B$9))</f>
        <v/>
      </c>
      <c r="N6" s="32" t="str">
        <f>IF(N5="","",MIN(EOMONTH(N5,0),'Cost Margin'!$B$9))</f>
        <v/>
      </c>
      <c r="O6" s="32" t="str">
        <f>IF(O5="","",MIN(EOMONTH(O5,0),'Cost Margin'!$B$9))</f>
        <v/>
      </c>
      <c r="P6" s="32" t="str">
        <f>IF(P5="","",MIN(EOMONTH(P5,0),'Cost Margin'!$B$9))</f>
        <v/>
      </c>
      <c r="Q6" s="32" t="str">
        <f>IF(Q5="","",MIN(EOMONTH(Q5,0),'Cost Margin'!$B$9))</f>
        <v/>
      </c>
      <c r="R6" s="32" t="str">
        <f>IF(R5="","",MIN(EOMONTH(R5,0),'Cost Margin'!$B$9))</f>
        <v/>
      </c>
      <c r="S6" s="32" t="str">
        <f>IF(S5="","",MIN(EOMONTH(S5,0),'Cost Margin'!$B$9))</f>
        <v/>
      </c>
      <c r="T6" s="32" t="str">
        <f>IF(T5="","",MIN(EOMONTH(T5,0),'Cost Margin'!$B$9))</f>
        <v/>
      </c>
      <c r="U6" s="32" t="str">
        <f>IF(U5="","",MIN(EOMONTH(U5,0),'Cost Margin'!$B$9))</f>
        <v/>
      </c>
      <c r="V6" s="32" t="str">
        <f>IF(V5="","",MIN(EOMONTH(V5,0),'Cost Margin'!$B$9))</f>
        <v/>
      </c>
      <c r="W6" s="32" t="str">
        <f>IF(W5="","",MIN(EOMONTH(W5,0),'Cost Margin'!$B$9))</f>
        <v/>
      </c>
      <c r="X6" s="32" t="str">
        <f>IF(X5="","",MIN(EOMONTH(X5,0),'Cost Margin'!$B$9))</f>
        <v/>
      </c>
      <c r="Y6" s="32" t="str">
        <f>IF(Y5="","",MIN(EOMONTH(Y5,0),'Cost Margin'!$B$9))</f>
        <v/>
      </c>
      <c r="Z6" s="32" t="str">
        <f>IF(Z5="","",MIN(EOMONTH(Z5,0),'Cost Margin'!$B$9))</f>
        <v/>
      </c>
    </row>
    <row r="7" spans="1:27" x14ac:dyDescent="0.2">
      <c r="A7" s="1" t="s">
        <v>110</v>
      </c>
      <c r="B7" s="1" t="s">
        <v>111</v>
      </c>
      <c r="C7" s="1" t="str">
        <f t="shared" ref="C7:Z7" si="1">IF(C5="","",TEXT(C5,"mmm yyyy"))</f>
        <v>Sep 2026</v>
      </c>
      <c r="D7" s="1" t="str">
        <f t="shared" si="1"/>
        <v>Oct 2026</v>
      </c>
      <c r="E7" s="1" t="str">
        <f t="shared" si="1"/>
        <v/>
      </c>
      <c r="F7" s="1" t="str">
        <f t="shared" si="1"/>
        <v/>
      </c>
      <c r="G7" s="1" t="str">
        <f t="shared" si="1"/>
        <v/>
      </c>
      <c r="H7" s="1" t="str">
        <f t="shared" si="1"/>
        <v/>
      </c>
      <c r="I7" s="1" t="str">
        <f t="shared" si="1"/>
        <v/>
      </c>
      <c r="J7" s="1" t="str">
        <f t="shared" si="1"/>
        <v/>
      </c>
      <c r="K7" s="1" t="str">
        <f t="shared" si="1"/>
        <v/>
      </c>
      <c r="L7" s="1" t="str">
        <f t="shared" si="1"/>
        <v/>
      </c>
      <c r="M7" s="1" t="str">
        <f t="shared" si="1"/>
        <v/>
      </c>
      <c r="N7" s="1" t="str">
        <f t="shared" si="1"/>
        <v/>
      </c>
      <c r="O7" s="1" t="str">
        <f t="shared" si="1"/>
        <v/>
      </c>
      <c r="P7" s="1" t="str">
        <f t="shared" si="1"/>
        <v/>
      </c>
      <c r="Q7" s="1" t="str">
        <f t="shared" si="1"/>
        <v/>
      </c>
      <c r="R7" s="1" t="str">
        <f t="shared" si="1"/>
        <v/>
      </c>
      <c r="S7" s="1" t="str">
        <f t="shared" si="1"/>
        <v/>
      </c>
      <c r="T7" s="1" t="str">
        <f t="shared" si="1"/>
        <v/>
      </c>
      <c r="U7" s="1" t="str">
        <f t="shared" si="1"/>
        <v/>
      </c>
      <c r="V7" s="1" t="str">
        <f t="shared" si="1"/>
        <v/>
      </c>
      <c r="W7" s="1" t="str">
        <f t="shared" si="1"/>
        <v/>
      </c>
      <c r="X7" s="1" t="str">
        <f t="shared" si="1"/>
        <v/>
      </c>
      <c r="Y7" s="1" t="str">
        <f t="shared" si="1"/>
        <v/>
      </c>
      <c r="Z7" s="1" t="str">
        <f t="shared" si="1"/>
        <v/>
      </c>
      <c r="AA7" s="1" t="s">
        <v>112</v>
      </c>
    </row>
    <row r="8" spans="1:27" x14ac:dyDescent="0.2">
      <c r="A8" s="4" t="s">
        <v>113</v>
      </c>
    </row>
    <row r="9" spans="1:27" x14ac:dyDescent="0.2">
      <c r="A9">
        <v>1</v>
      </c>
      <c r="B9" s="33" t="str">
        <f>IF('Cost Margin'!A17="","",'Cost Margin'!A17)</f>
        <v>Vikrin</v>
      </c>
      <c r="C9" s="34">
        <f>IF(OR(C$5="",'Cost Margin'!$A17="",IF('Cost Margin'!$H17="",'Cost Margin'!$B$8,'Cost Margin'!$H17)="",IF('Cost Margin'!$I17="",'Cost Margin'!$B$9,'Cost Margin'!$I17)=""),0,IF(MIN(IF('Cost Margin'!$I17="",'Cost Margin'!$B$9,'Cost Margin'!$I17),C$6)&lt;MAX(IF('Cost Margin'!$H17="",'Cost Margin'!$B$8,'Cost Margin'!$H17),C$5),0,IFERROR(NETWORKDAYS(MAX(IF('Cost Margin'!$H17="",'Cost Margin'!$B$8,'Cost Margin'!$H17),C$5),MIN(IF('Cost Margin'!$I17="",'Cost Margin'!$B$9,'Cost Margin'!$I17),C$6),INDEX(Settings!$J$7:$M$60,0,MATCH('Cost Margin'!$C17,Settings!$J$6:$M$6,0))),NETWORKDAYS(MAX(IF('Cost Margin'!$H17="",'Cost Margin'!$B$8,'Cost Margin'!$H17),C$5),MIN(IF('Cost Margin'!$I17="",'Cost Margin'!$B$9,'Cost Margin'!$I17),C$6)))))</f>
        <v>18</v>
      </c>
      <c r="D9" s="34">
        <f>IF(OR(D$5="",'Cost Margin'!$A17="",IF('Cost Margin'!$H17="",'Cost Margin'!$B$8,'Cost Margin'!$H17)="",IF('Cost Margin'!$I17="",'Cost Margin'!$B$9,'Cost Margin'!$I17)=""),0,IF(MIN(IF('Cost Margin'!$I17="",'Cost Margin'!$B$9,'Cost Margin'!$I17),D$6)&lt;MAX(IF('Cost Margin'!$H17="",'Cost Margin'!$B$8,'Cost Margin'!$H17),D$5),0,IFERROR(NETWORKDAYS(MAX(IF('Cost Margin'!$H17="",'Cost Margin'!$B$8,'Cost Margin'!$H17),D$5),MIN(IF('Cost Margin'!$I17="",'Cost Margin'!$B$9,'Cost Margin'!$I17),D$6),INDEX(Settings!$J$7:$M$60,0,MATCH('Cost Margin'!$C17,Settings!$J$6:$M$6,0))),NETWORKDAYS(MAX(IF('Cost Margin'!$H17="",'Cost Margin'!$B$8,'Cost Margin'!$H17),D$5),MIN(IF('Cost Margin'!$I17="",'Cost Margin'!$B$9,'Cost Margin'!$I17),D$6)))))</f>
        <v>3</v>
      </c>
      <c r="E9" s="34">
        <f>IF(OR(E$5="",'Cost Margin'!$A17="",IF('Cost Margin'!$H17="",'Cost Margin'!$B$8,'Cost Margin'!$H17)="",IF('Cost Margin'!$I17="",'Cost Margin'!$B$9,'Cost Margin'!$I17)=""),0,IF(MIN(IF('Cost Margin'!$I17="",'Cost Margin'!$B$9,'Cost Margin'!$I17),E$6)&lt;MAX(IF('Cost Margin'!$H17="",'Cost Margin'!$B$8,'Cost Margin'!$H17),E$5),0,IFERROR(NETWORKDAYS(MAX(IF('Cost Margin'!$H17="",'Cost Margin'!$B$8,'Cost Margin'!$H17),E$5),MIN(IF('Cost Margin'!$I17="",'Cost Margin'!$B$9,'Cost Margin'!$I17),E$6),INDEX(Settings!$J$7:$M$60,0,MATCH('Cost Margin'!$C17,Settings!$J$6:$M$6,0))),NETWORKDAYS(MAX(IF('Cost Margin'!$H17="",'Cost Margin'!$B$8,'Cost Margin'!$H17),E$5),MIN(IF('Cost Margin'!$I17="",'Cost Margin'!$B$9,'Cost Margin'!$I17),E$6)))))</f>
        <v>0</v>
      </c>
      <c r="F9" s="34">
        <f>IF(OR(F$5="",'Cost Margin'!$A17="",IF('Cost Margin'!$H17="",'Cost Margin'!$B$8,'Cost Margin'!$H17)="",IF('Cost Margin'!$I17="",'Cost Margin'!$B$9,'Cost Margin'!$I17)=""),0,IF(MIN(IF('Cost Margin'!$I17="",'Cost Margin'!$B$9,'Cost Margin'!$I17),F$6)&lt;MAX(IF('Cost Margin'!$H17="",'Cost Margin'!$B$8,'Cost Margin'!$H17),F$5),0,IFERROR(NETWORKDAYS(MAX(IF('Cost Margin'!$H17="",'Cost Margin'!$B$8,'Cost Margin'!$H17),F$5),MIN(IF('Cost Margin'!$I17="",'Cost Margin'!$B$9,'Cost Margin'!$I17),F$6),INDEX(Settings!$J$7:$M$60,0,MATCH('Cost Margin'!$C17,Settings!$J$6:$M$6,0))),NETWORKDAYS(MAX(IF('Cost Margin'!$H17="",'Cost Margin'!$B$8,'Cost Margin'!$H17),F$5),MIN(IF('Cost Margin'!$I17="",'Cost Margin'!$B$9,'Cost Margin'!$I17),F$6)))))</f>
        <v>0</v>
      </c>
      <c r="G9" s="34">
        <f>IF(OR(G$5="",'Cost Margin'!$A17="",IF('Cost Margin'!$H17="",'Cost Margin'!$B$8,'Cost Margin'!$H17)="",IF('Cost Margin'!$I17="",'Cost Margin'!$B$9,'Cost Margin'!$I17)=""),0,IF(MIN(IF('Cost Margin'!$I17="",'Cost Margin'!$B$9,'Cost Margin'!$I17),G$6)&lt;MAX(IF('Cost Margin'!$H17="",'Cost Margin'!$B$8,'Cost Margin'!$H17),G$5),0,IFERROR(NETWORKDAYS(MAX(IF('Cost Margin'!$H17="",'Cost Margin'!$B$8,'Cost Margin'!$H17),G$5),MIN(IF('Cost Margin'!$I17="",'Cost Margin'!$B$9,'Cost Margin'!$I17),G$6),INDEX(Settings!$J$7:$M$60,0,MATCH('Cost Margin'!$C17,Settings!$J$6:$M$6,0))),NETWORKDAYS(MAX(IF('Cost Margin'!$H17="",'Cost Margin'!$B$8,'Cost Margin'!$H17),G$5),MIN(IF('Cost Margin'!$I17="",'Cost Margin'!$B$9,'Cost Margin'!$I17),G$6)))))</f>
        <v>0</v>
      </c>
      <c r="H9" s="34">
        <f>IF(OR(H$5="",'Cost Margin'!$A17="",IF('Cost Margin'!$H17="",'Cost Margin'!$B$8,'Cost Margin'!$H17)="",IF('Cost Margin'!$I17="",'Cost Margin'!$B$9,'Cost Margin'!$I17)=""),0,IF(MIN(IF('Cost Margin'!$I17="",'Cost Margin'!$B$9,'Cost Margin'!$I17),H$6)&lt;MAX(IF('Cost Margin'!$H17="",'Cost Margin'!$B$8,'Cost Margin'!$H17),H$5),0,IFERROR(NETWORKDAYS(MAX(IF('Cost Margin'!$H17="",'Cost Margin'!$B$8,'Cost Margin'!$H17),H$5),MIN(IF('Cost Margin'!$I17="",'Cost Margin'!$B$9,'Cost Margin'!$I17),H$6),INDEX(Settings!$J$7:$M$60,0,MATCH('Cost Margin'!$C17,Settings!$J$6:$M$6,0))),NETWORKDAYS(MAX(IF('Cost Margin'!$H17="",'Cost Margin'!$B$8,'Cost Margin'!$H17),H$5),MIN(IF('Cost Margin'!$I17="",'Cost Margin'!$B$9,'Cost Margin'!$I17),H$6)))))</f>
        <v>0</v>
      </c>
      <c r="I9" s="34">
        <f>IF(OR(I$5="",'Cost Margin'!$A17="",IF('Cost Margin'!$H17="",'Cost Margin'!$B$8,'Cost Margin'!$H17)="",IF('Cost Margin'!$I17="",'Cost Margin'!$B$9,'Cost Margin'!$I17)=""),0,IF(MIN(IF('Cost Margin'!$I17="",'Cost Margin'!$B$9,'Cost Margin'!$I17),I$6)&lt;MAX(IF('Cost Margin'!$H17="",'Cost Margin'!$B$8,'Cost Margin'!$H17),I$5),0,IFERROR(NETWORKDAYS(MAX(IF('Cost Margin'!$H17="",'Cost Margin'!$B$8,'Cost Margin'!$H17),I$5),MIN(IF('Cost Margin'!$I17="",'Cost Margin'!$B$9,'Cost Margin'!$I17),I$6),INDEX(Settings!$J$7:$M$60,0,MATCH('Cost Margin'!$C17,Settings!$J$6:$M$6,0))),NETWORKDAYS(MAX(IF('Cost Margin'!$H17="",'Cost Margin'!$B$8,'Cost Margin'!$H17),I$5),MIN(IF('Cost Margin'!$I17="",'Cost Margin'!$B$9,'Cost Margin'!$I17),I$6)))))</f>
        <v>0</v>
      </c>
      <c r="J9" s="34">
        <f>IF(OR(J$5="",'Cost Margin'!$A17="",IF('Cost Margin'!$H17="",'Cost Margin'!$B$8,'Cost Margin'!$H17)="",IF('Cost Margin'!$I17="",'Cost Margin'!$B$9,'Cost Margin'!$I17)=""),0,IF(MIN(IF('Cost Margin'!$I17="",'Cost Margin'!$B$9,'Cost Margin'!$I17),J$6)&lt;MAX(IF('Cost Margin'!$H17="",'Cost Margin'!$B$8,'Cost Margin'!$H17),J$5),0,IFERROR(NETWORKDAYS(MAX(IF('Cost Margin'!$H17="",'Cost Margin'!$B$8,'Cost Margin'!$H17),J$5),MIN(IF('Cost Margin'!$I17="",'Cost Margin'!$B$9,'Cost Margin'!$I17),J$6),INDEX(Settings!$J$7:$M$60,0,MATCH('Cost Margin'!$C17,Settings!$J$6:$M$6,0))),NETWORKDAYS(MAX(IF('Cost Margin'!$H17="",'Cost Margin'!$B$8,'Cost Margin'!$H17),J$5),MIN(IF('Cost Margin'!$I17="",'Cost Margin'!$B$9,'Cost Margin'!$I17),J$6)))))</f>
        <v>0</v>
      </c>
      <c r="K9" s="34">
        <f>IF(OR(K$5="",'Cost Margin'!$A17="",IF('Cost Margin'!$H17="",'Cost Margin'!$B$8,'Cost Margin'!$H17)="",IF('Cost Margin'!$I17="",'Cost Margin'!$B$9,'Cost Margin'!$I17)=""),0,IF(MIN(IF('Cost Margin'!$I17="",'Cost Margin'!$B$9,'Cost Margin'!$I17),K$6)&lt;MAX(IF('Cost Margin'!$H17="",'Cost Margin'!$B$8,'Cost Margin'!$H17),K$5),0,IFERROR(NETWORKDAYS(MAX(IF('Cost Margin'!$H17="",'Cost Margin'!$B$8,'Cost Margin'!$H17),K$5),MIN(IF('Cost Margin'!$I17="",'Cost Margin'!$B$9,'Cost Margin'!$I17),K$6),INDEX(Settings!$J$7:$M$60,0,MATCH('Cost Margin'!$C17,Settings!$J$6:$M$6,0))),NETWORKDAYS(MAX(IF('Cost Margin'!$H17="",'Cost Margin'!$B$8,'Cost Margin'!$H17),K$5),MIN(IF('Cost Margin'!$I17="",'Cost Margin'!$B$9,'Cost Margin'!$I17),K$6)))))</f>
        <v>0</v>
      </c>
      <c r="L9" s="34">
        <f>IF(OR(L$5="",'Cost Margin'!$A17="",IF('Cost Margin'!$H17="",'Cost Margin'!$B$8,'Cost Margin'!$H17)="",IF('Cost Margin'!$I17="",'Cost Margin'!$B$9,'Cost Margin'!$I17)=""),0,IF(MIN(IF('Cost Margin'!$I17="",'Cost Margin'!$B$9,'Cost Margin'!$I17),L$6)&lt;MAX(IF('Cost Margin'!$H17="",'Cost Margin'!$B$8,'Cost Margin'!$H17),L$5),0,IFERROR(NETWORKDAYS(MAX(IF('Cost Margin'!$H17="",'Cost Margin'!$B$8,'Cost Margin'!$H17),L$5),MIN(IF('Cost Margin'!$I17="",'Cost Margin'!$B$9,'Cost Margin'!$I17),L$6),INDEX(Settings!$J$7:$M$60,0,MATCH('Cost Margin'!$C17,Settings!$J$6:$M$6,0))),NETWORKDAYS(MAX(IF('Cost Margin'!$H17="",'Cost Margin'!$B$8,'Cost Margin'!$H17),L$5),MIN(IF('Cost Margin'!$I17="",'Cost Margin'!$B$9,'Cost Margin'!$I17),L$6)))))</f>
        <v>0</v>
      </c>
      <c r="M9" s="34">
        <f>IF(OR(M$5="",'Cost Margin'!$A17="",IF('Cost Margin'!$H17="",'Cost Margin'!$B$8,'Cost Margin'!$H17)="",IF('Cost Margin'!$I17="",'Cost Margin'!$B$9,'Cost Margin'!$I17)=""),0,IF(MIN(IF('Cost Margin'!$I17="",'Cost Margin'!$B$9,'Cost Margin'!$I17),M$6)&lt;MAX(IF('Cost Margin'!$H17="",'Cost Margin'!$B$8,'Cost Margin'!$H17),M$5),0,IFERROR(NETWORKDAYS(MAX(IF('Cost Margin'!$H17="",'Cost Margin'!$B$8,'Cost Margin'!$H17),M$5),MIN(IF('Cost Margin'!$I17="",'Cost Margin'!$B$9,'Cost Margin'!$I17),M$6),INDEX(Settings!$J$7:$M$60,0,MATCH('Cost Margin'!$C17,Settings!$J$6:$M$6,0))),NETWORKDAYS(MAX(IF('Cost Margin'!$H17="",'Cost Margin'!$B$8,'Cost Margin'!$H17),M$5),MIN(IF('Cost Margin'!$I17="",'Cost Margin'!$B$9,'Cost Margin'!$I17),M$6)))))</f>
        <v>0</v>
      </c>
      <c r="N9" s="34">
        <f>IF(OR(N$5="",'Cost Margin'!$A17="",IF('Cost Margin'!$H17="",'Cost Margin'!$B$8,'Cost Margin'!$H17)="",IF('Cost Margin'!$I17="",'Cost Margin'!$B$9,'Cost Margin'!$I17)=""),0,IF(MIN(IF('Cost Margin'!$I17="",'Cost Margin'!$B$9,'Cost Margin'!$I17),N$6)&lt;MAX(IF('Cost Margin'!$H17="",'Cost Margin'!$B$8,'Cost Margin'!$H17),N$5),0,IFERROR(NETWORKDAYS(MAX(IF('Cost Margin'!$H17="",'Cost Margin'!$B$8,'Cost Margin'!$H17),N$5),MIN(IF('Cost Margin'!$I17="",'Cost Margin'!$B$9,'Cost Margin'!$I17),N$6),INDEX(Settings!$J$7:$M$60,0,MATCH('Cost Margin'!$C17,Settings!$J$6:$M$6,0))),NETWORKDAYS(MAX(IF('Cost Margin'!$H17="",'Cost Margin'!$B$8,'Cost Margin'!$H17),N$5),MIN(IF('Cost Margin'!$I17="",'Cost Margin'!$B$9,'Cost Margin'!$I17),N$6)))))</f>
        <v>0</v>
      </c>
      <c r="O9" s="34">
        <f>IF(OR(O$5="",'Cost Margin'!$A17="",IF('Cost Margin'!$H17="",'Cost Margin'!$B$8,'Cost Margin'!$H17)="",IF('Cost Margin'!$I17="",'Cost Margin'!$B$9,'Cost Margin'!$I17)=""),0,IF(MIN(IF('Cost Margin'!$I17="",'Cost Margin'!$B$9,'Cost Margin'!$I17),O$6)&lt;MAX(IF('Cost Margin'!$H17="",'Cost Margin'!$B$8,'Cost Margin'!$H17),O$5),0,IFERROR(NETWORKDAYS(MAX(IF('Cost Margin'!$H17="",'Cost Margin'!$B$8,'Cost Margin'!$H17),O$5),MIN(IF('Cost Margin'!$I17="",'Cost Margin'!$B$9,'Cost Margin'!$I17),O$6),INDEX(Settings!$J$7:$M$60,0,MATCH('Cost Margin'!$C17,Settings!$J$6:$M$6,0))),NETWORKDAYS(MAX(IF('Cost Margin'!$H17="",'Cost Margin'!$B$8,'Cost Margin'!$H17),O$5),MIN(IF('Cost Margin'!$I17="",'Cost Margin'!$B$9,'Cost Margin'!$I17),O$6)))))</f>
        <v>0</v>
      </c>
      <c r="P9" s="34">
        <f>IF(OR(P$5="",'Cost Margin'!$A17="",IF('Cost Margin'!$H17="",'Cost Margin'!$B$8,'Cost Margin'!$H17)="",IF('Cost Margin'!$I17="",'Cost Margin'!$B$9,'Cost Margin'!$I17)=""),0,IF(MIN(IF('Cost Margin'!$I17="",'Cost Margin'!$B$9,'Cost Margin'!$I17),P$6)&lt;MAX(IF('Cost Margin'!$H17="",'Cost Margin'!$B$8,'Cost Margin'!$H17),P$5),0,IFERROR(NETWORKDAYS(MAX(IF('Cost Margin'!$H17="",'Cost Margin'!$B$8,'Cost Margin'!$H17),P$5),MIN(IF('Cost Margin'!$I17="",'Cost Margin'!$B$9,'Cost Margin'!$I17),P$6),INDEX(Settings!$J$7:$M$60,0,MATCH('Cost Margin'!$C17,Settings!$J$6:$M$6,0))),NETWORKDAYS(MAX(IF('Cost Margin'!$H17="",'Cost Margin'!$B$8,'Cost Margin'!$H17),P$5),MIN(IF('Cost Margin'!$I17="",'Cost Margin'!$B$9,'Cost Margin'!$I17),P$6)))))</f>
        <v>0</v>
      </c>
      <c r="Q9" s="34">
        <f>IF(OR(Q$5="",'Cost Margin'!$A17="",IF('Cost Margin'!$H17="",'Cost Margin'!$B$8,'Cost Margin'!$H17)="",IF('Cost Margin'!$I17="",'Cost Margin'!$B$9,'Cost Margin'!$I17)=""),0,IF(MIN(IF('Cost Margin'!$I17="",'Cost Margin'!$B$9,'Cost Margin'!$I17),Q$6)&lt;MAX(IF('Cost Margin'!$H17="",'Cost Margin'!$B$8,'Cost Margin'!$H17),Q$5),0,IFERROR(NETWORKDAYS(MAX(IF('Cost Margin'!$H17="",'Cost Margin'!$B$8,'Cost Margin'!$H17),Q$5),MIN(IF('Cost Margin'!$I17="",'Cost Margin'!$B$9,'Cost Margin'!$I17),Q$6),INDEX(Settings!$J$7:$M$60,0,MATCH('Cost Margin'!$C17,Settings!$J$6:$M$6,0))),NETWORKDAYS(MAX(IF('Cost Margin'!$H17="",'Cost Margin'!$B$8,'Cost Margin'!$H17),Q$5),MIN(IF('Cost Margin'!$I17="",'Cost Margin'!$B$9,'Cost Margin'!$I17),Q$6)))))</f>
        <v>0</v>
      </c>
      <c r="R9" s="34">
        <f>IF(OR(R$5="",'Cost Margin'!$A17="",IF('Cost Margin'!$H17="",'Cost Margin'!$B$8,'Cost Margin'!$H17)="",IF('Cost Margin'!$I17="",'Cost Margin'!$B$9,'Cost Margin'!$I17)=""),0,IF(MIN(IF('Cost Margin'!$I17="",'Cost Margin'!$B$9,'Cost Margin'!$I17),R$6)&lt;MAX(IF('Cost Margin'!$H17="",'Cost Margin'!$B$8,'Cost Margin'!$H17),R$5),0,IFERROR(NETWORKDAYS(MAX(IF('Cost Margin'!$H17="",'Cost Margin'!$B$8,'Cost Margin'!$H17),R$5),MIN(IF('Cost Margin'!$I17="",'Cost Margin'!$B$9,'Cost Margin'!$I17),R$6),INDEX(Settings!$J$7:$M$60,0,MATCH('Cost Margin'!$C17,Settings!$J$6:$M$6,0))),NETWORKDAYS(MAX(IF('Cost Margin'!$H17="",'Cost Margin'!$B$8,'Cost Margin'!$H17),R$5),MIN(IF('Cost Margin'!$I17="",'Cost Margin'!$B$9,'Cost Margin'!$I17),R$6)))))</f>
        <v>0</v>
      </c>
      <c r="S9" s="34">
        <f>IF(OR(S$5="",'Cost Margin'!$A17="",IF('Cost Margin'!$H17="",'Cost Margin'!$B$8,'Cost Margin'!$H17)="",IF('Cost Margin'!$I17="",'Cost Margin'!$B$9,'Cost Margin'!$I17)=""),0,IF(MIN(IF('Cost Margin'!$I17="",'Cost Margin'!$B$9,'Cost Margin'!$I17),S$6)&lt;MAX(IF('Cost Margin'!$H17="",'Cost Margin'!$B$8,'Cost Margin'!$H17),S$5),0,IFERROR(NETWORKDAYS(MAX(IF('Cost Margin'!$H17="",'Cost Margin'!$B$8,'Cost Margin'!$H17),S$5),MIN(IF('Cost Margin'!$I17="",'Cost Margin'!$B$9,'Cost Margin'!$I17),S$6),INDEX(Settings!$J$7:$M$60,0,MATCH('Cost Margin'!$C17,Settings!$J$6:$M$6,0))),NETWORKDAYS(MAX(IF('Cost Margin'!$H17="",'Cost Margin'!$B$8,'Cost Margin'!$H17),S$5),MIN(IF('Cost Margin'!$I17="",'Cost Margin'!$B$9,'Cost Margin'!$I17),S$6)))))</f>
        <v>0</v>
      </c>
      <c r="T9" s="34">
        <f>IF(OR(T$5="",'Cost Margin'!$A17="",IF('Cost Margin'!$H17="",'Cost Margin'!$B$8,'Cost Margin'!$H17)="",IF('Cost Margin'!$I17="",'Cost Margin'!$B$9,'Cost Margin'!$I17)=""),0,IF(MIN(IF('Cost Margin'!$I17="",'Cost Margin'!$B$9,'Cost Margin'!$I17),T$6)&lt;MAX(IF('Cost Margin'!$H17="",'Cost Margin'!$B$8,'Cost Margin'!$H17),T$5),0,IFERROR(NETWORKDAYS(MAX(IF('Cost Margin'!$H17="",'Cost Margin'!$B$8,'Cost Margin'!$H17),T$5),MIN(IF('Cost Margin'!$I17="",'Cost Margin'!$B$9,'Cost Margin'!$I17),T$6),INDEX(Settings!$J$7:$M$60,0,MATCH('Cost Margin'!$C17,Settings!$J$6:$M$6,0))),NETWORKDAYS(MAX(IF('Cost Margin'!$H17="",'Cost Margin'!$B$8,'Cost Margin'!$H17),T$5),MIN(IF('Cost Margin'!$I17="",'Cost Margin'!$B$9,'Cost Margin'!$I17),T$6)))))</f>
        <v>0</v>
      </c>
      <c r="U9" s="34">
        <f>IF(OR(U$5="",'Cost Margin'!$A17="",IF('Cost Margin'!$H17="",'Cost Margin'!$B$8,'Cost Margin'!$H17)="",IF('Cost Margin'!$I17="",'Cost Margin'!$B$9,'Cost Margin'!$I17)=""),0,IF(MIN(IF('Cost Margin'!$I17="",'Cost Margin'!$B$9,'Cost Margin'!$I17),U$6)&lt;MAX(IF('Cost Margin'!$H17="",'Cost Margin'!$B$8,'Cost Margin'!$H17),U$5),0,IFERROR(NETWORKDAYS(MAX(IF('Cost Margin'!$H17="",'Cost Margin'!$B$8,'Cost Margin'!$H17),U$5),MIN(IF('Cost Margin'!$I17="",'Cost Margin'!$B$9,'Cost Margin'!$I17),U$6),INDEX(Settings!$J$7:$M$60,0,MATCH('Cost Margin'!$C17,Settings!$J$6:$M$6,0))),NETWORKDAYS(MAX(IF('Cost Margin'!$H17="",'Cost Margin'!$B$8,'Cost Margin'!$H17),U$5),MIN(IF('Cost Margin'!$I17="",'Cost Margin'!$B$9,'Cost Margin'!$I17),U$6)))))</f>
        <v>0</v>
      </c>
      <c r="V9" s="34">
        <f>IF(OR(V$5="",'Cost Margin'!$A17="",IF('Cost Margin'!$H17="",'Cost Margin'!$B$8,'Cost Margin'!$H17)="",IF('Cost Margin'!$I17="",'Cost Margin'!$B$9,'Cost Margin'!$I17)=""),0,IF(MIN(IF('Cost Margin'!$I17="",'Cost Margin'!$B$9,'Cost Margin'!$I17),V$6)&lt;MAX(IF('Cost Margin'!$H17="",'Cost Margin'!$B$8,'Cost Margin'!$H17),V$5),0,IFERROR(NETWORKDAYS(MAX(IF('Cost Margin'!$H17="",'Cost Margin'!$B$8,'Cost Margin'!$H17),V$5),MIN(IF('Cost Margin'!$I17="",'Cost Margin'!$B$9,'Cost Margin'!$I17),V$6),INDEX(Settings!$J$7:$M$60,0,MATCH('Cost Margin'!$C17,Settings!$J$6:$M$6,0))),NETWORKDAYS(MAX(IF('Cost Margin'!$H17="",'Cost Margin'!$B$8,'Cost Margin'!$H17),V$5),MIN(IF('Cost Margin'!$I17="",'Cost Margin'!$B$9,'Cost Margin'!$I17),V$6)))))</f>
        <v>0</v>
      </c>
      <c r="W9" s="34">
        <f>IF(OR(W$5="",'Cost Margin'!$A17="",IF('Cost Margin'!$H17="",'Cost Margin'!$B$8,'Cost Margin'!$H17)="",IF('Cost Margin'!$I17="",'Cost Margin'!$B$9,'Cost Margin'!$I17)=""),0,IF(MIN(IF('Cost Margin'!$I17="",'Cost Margin'!$B$9,'Cost Margin'!$I17),W$6)&lt;MAX(IF('Cost Margin'!$H17="",'Cost Margin'!$B$8,'Cost Margin'!$H17),W$5),0,IFERROR(NETWORKDAYS(MAX(IF('Cost Margin'!$H17="",'Cost Margin'!$B$8,'Cost Margin'!$H17),W$5),MIN(IF('Cost Margin'!$I17="",'Cost Margin'!$B$9,'Cost Margin'!$I17),W$6),INDEX(Settings!$J$7:$M$60,0,MATCH('Cost Margin'!$C17,Settings!$J$6:$M$6,0))),NETWORKDAYS(MAX(IF('Cost Margin'!$H17="",'Cost Margin'!$B$8,'Cost Margin'!$H17),W$5),MIN(IF('Cost Margin'!$I17="",'Cost Margin'!$B$9,'Cost Margin'!$I17),W$6)))))</f>
        <v>0</v>
      </c>
      <c r="X9" s="34">
        <f>IF(OR(X$5="",'Cost Margin'!$A17="",IF('Cost Margin'!$H17="",'Cost Margin'!$B$8,'Cost Margin'!$H17)="",IF('Cost Margin'!$I17="",'Cost Margin'!$B$9,'Cost Margin'!$I17)=""),0,IF(MIN(IF('Cost Margin'!$I17="",'Cost Margin'!$B$9,'Cost Margin'!$I17),X$6)&lt;MAX(IF('Cost Margin'!$H17="",'Cost Margin'!$B$8,'Cost Margin'!$H17),X$5),0,IFERROR(NETWORKDAYS(MAX(IF('Cost Margin'!$H17="",'Cost Margin'!$B$8,'Cost Margin'!$H17),X$5),MIN(IF('Cost Margin'!$I17="",'Cost Margin'!$B$9,'Cost Margin'!$I17),X$6),INDEX(Settings!$J$7:$M$60,0,MATCH('Cost Margin'!$C17,Settings!$J$6:$M$6,0))),NETWORKDAYS(MAX(IF('Cost Margin'!$H17="",'Cost Margin'!$B$8,'Cost Margin'!$H17),X$5),MIN(IF('Cost Margin'!$I17="",'Cost Margin'!$B$9,'Cost Margin'!$I17),X$6)))))</f>
        <v>0</v>
      </c>
      <c r="Y9" s="34">
        <f>IF(OR(Y$5="",'Cost Margin'!$A17="",IF('Cost Margin'!$H17="",'Cost Margin'!$B$8,'Cost Margin'!$H17)="",IF('Cost Margin'!$I17="",'Cost Margin'!$B$9,'Cost Margin'!$I17)=""),0,IF(MIN(IF('Cost Margin'!$I17="",'Cost Margin'!$B$9,'Cost Margin'!$I17),Y$6)&lt;MAX(IF('Cost Margin'!$H17="",'Cost Margin'!$B$8,'Cost Margin'!$H17),Y$5),0,IFERROR(NETWORKDAYS(MAX(IF('Cost Margin'!$H17="",'Cost Margin'!$B$8,'Cost Margin'!$H17),Y$5),MIN(IF('Cost Margin'!$I17="",'Cost Margin'!$B$9,'Cost Margin'!$I17),Y$6),INDEX(Settings!$J$7:$M$60,0,MATCH('Cost Margin'!$C17,Settings!$J$6:$M$6,0))),NETWORKDAYS(MAX(IF('Cost Margin'!$H17="",'Cost Margin'!$B$8,'Cost Margin'!$H17),Y$5),MIN(IF('Cost Margin'!$I17="",'Cost Margin'!$B$9,'Cost Margin'!$I17),Y$6)))))</f>
        <v>0</v>
      </c>
      <c r="Z9" s="34">
        <f>IF(OR(Z$5="",'Cost Margin'!$A17="",IF('Cost Margin'!$H17="",'Cost Margin'!$B$8,'Cost Margin'!$H17)="",IF('Cost Margin'!$I17="",'Cost Margin'!$B$9,'Cost Margin'!$I17)=""),0,IF(MIN(IF('Cost Margin'!$I17="",'Cost Margin'!$B$9,'Cost Margin'!$I17),Z$6)&lt;MAX(IF('Cost Margin'!$H17="",'Cost Margin'!$B$8,'Cost Margin'!$H17),Z$5),0,IFERROR(NETWORKDAYS(MAX(IF('Cost Margin'!$H17="",'Cost Margin'!$B$8,'Cost Margin'!$H17),Z$5),MIN(IF('Cost Margin'!$I17="",'Cost Margin'!$B$9,'Cost Margin'!$I17),Z$6),INDEX(Settings!$J$7:$M$60,0,MATCH('Cost Margin'!$C17,Settings!$J$6:$M$6,0))),NETWORKDAYS(MAX(IF('Cost Margin'!$H17="",'Cost Margin'!$B$8,'Cost Margin'!$H17),Z$5),MIN(IF('Cost Margin'!$I17="",'Cost Margin'!$B$9,'Cost Margin'!$I17),Z$6)))))</f>
        <v>0</v>
      </c>
    </row>
    <row r="10" spans="1:27" x14ac:dyDescent="0.2">
      <c r="A10">
        <v>2</v>
      </c>
      <c r="B10" s="33" t="str">
        <f>IF('Cost Margin'!A18="","",'Cost Margin'!A18)</f>
        <v>srikanth</v>
      </c>
      <c r="C10" s="34">
        <f>IF(OR(C$5="",'Cost Margin'!$A18="",IF('Cost Margin'!$H18="",'Cost Margin'!$B$8,'Cost Margin'!$H18)="",IF('Cost Margin'!$I18="",'Cost Margin'!$B$9,'Cost Margin'!$I18)=""),0,IF(MIN(IF('Cost Margin'!$I18="",'Cost Margin'!$B$9,'Cost Margin'!$I18),C$6)&lt;MAX(IF('Cost Margin'!$H18="",'Cost Margin'!$B$8,'Cost Margin'!$H18),C$5),0,IFERROR(NETWORKDAYS(MAX(IF('Cost Margin'!$H18="",'Cost Margin'!$B$8,'Cost Margin'!$H18),C$5),MIN(IF('Cost Margin'!$I18="",'Cost Margin'!$B$9,'Cost Margin'!$I18),C$6),INDEX(Settings!$J$7:$M$60,0,MATCH('Cost Margin'!$C18,Settings!$J$6:$M$6,0))),NETWORKDAYS(MAX(IF('Cost Margin'!$H18="",'Cost Margin'!$B$8,'Cost Margin'!$H18),C$5),MIN(IF('Cost Margin'!$I18="",'Cost Margin'!$B$9,'Cost Margin'!$I18),C$6)))))</f>
        <v>18</v>
      </c>
      <c r="D10" s="34">
        <f>IF(OR(D$5="",'Cost Margin'!$A18="",IF('Cost Margin'!$H18="",'Cost Margin'!$B$8,'Cost Margin'!$H18)="",IF('Cost Margin'!$I18="",'Cost Margin'!$B$9,'Cost Margin'!$I18)=""),0,IF(MIN(IF('Cost Margin'!$I18="",'Cost Margin'!$B$9,'Cost Margin'!$I18),D$6)&lt;MAX(IF('Cost Margin'!$H18="",'Cost Margin'!$B$8,'Cost Margin'!$H18),D$5),0,IFERROR(NETWORKDAYS(MAX(IF('Cost Margin'!$H18="",'Cost Margin'!$B$8,'Cost Margin'!$H18),D$5),MIN(IF('Cost Margin'!$I18="",'Cost Margin'!$B$9,'Cost Margin'!$I18),D$6),INDEX(Settings!$J$7:$M$60,0,MATCH('Cost Margin'!$C18,Settings!$J$6:$M$6,0))),NETWORKDAYS(MAX(IF('Cost Margin'!$H18="",'Cost Margin'!$B$8,'Cost Margin'!$H18),D$5),MIN(IF('Cost Margin'!$I18="",'Cost Margin'!$B$9,'Cost Margin'!$I18),D$6)))))</f>
        <v>3</v>
      </c>
      <c r="E10" s="34">
        <f>IF(OR(E$5="",'Cost Margin'!$A18="",IF('Cost Margin'!$H18="",'Cost Margin'!$B$8,'Cost Margin'!$H18)="",IF('Cost Margin'!$I18="",'Cost Margin'!$B$9,'Cost Margin'!$I18)=""),0,IF(MIN(IF('Cost Margin'!$I18="",'Cost Margin'!$B$9,'Cost Margin'!$I18),E$6)&lt;MAX(IF('Cost Margin'!$H18="",'Cost Margin'!$B$8,'Cost Margin'!$H18),E$5),0,IFERROR(NETWORKDAYS(MAX(IF('Cost Margin'!$H18="",'Cost Margin'!$B$8,'Cost Margin'!$H18),E$5),MIN(IF('Cost Margin'!$I18="",'Cost Margin'!$B$9,'Cost Margin'!$I18),E$6),INDEX(Settings!$J$7:$M$60,0,MATCH('Cost Margin'!$C18,Settings!$J$6:$M$6,0))),NETWORKDAYS(MAX(IF('Cost Margin'!$H18="",'Cost Margin'!$B$8,'Cost Margin'!$H18),E$5),MIN(IF('Cost Margin'!$I18="",'Cost Margin'!$B$9,'Cost Margin'!$I18),E$6)))))</f>
        <v>0</v>
      </c>
      <c r="F10" s="34">
        <f>IF(OR(F$5="",'Cost Margin'!$A18="",IF('Cost Margin'!$H18="",'Cost Margin'!$B$8,'Cost Margin'!$H18)="",IF('Cost Margin'!$I18="",'Cost Margin'!$B$9,'Cost Margin'!$I18)=""),0,IF(MIN(IF('Cost Margin'!$I18="",'Cost Margin'!$B$9,'Cost Margin'!$I18),F$6)&lt;MAX(IF('Cost Margin'!$H18="",'Cost Margin'!$B$8,'Cost Margin'!$H18),F$5),0,IFERROR(NETWORKDAYS(MAX(IF('Cost Margin'!$H18="",'Cost Margin'!$B$8,'Cost Margin'!$H18),F$5),MIN(IF('Cost Margin'!$I18="",'Cost Margin'!$B$9,'Cost Margin'!$I18),F$6),INDEX(Settings!$J$7:$M$60,0,MATCH('Cost Margin'!$C18,Settings!$J$6:$M$6,0))),NETWORKDAYS(MAX(IF('Cost Margin'!$H18="",'Cost Margin'!$B$8,'Cost Margin'!$H18),F$5),MIN(IF('Cost Margin'!$I18="",'Cost Margin'!$B$9,'Cost Margin'!$I18),F$6)))))</f>
        <v>0</v>
      </c>
      <c r="G10" s="34">
        <f>IF(OR(G$5="",'Cost Margin'!$A18="",IF('Cost Margin'!$H18="",'Cost Margin'!$B$8,'Cost Margin'!$H18)="",IF('Cost Margin'!$I18="",'Cost Margin'!$B$9,'Cost Margin'!$I18)=""),0,IF(MIN(IF('Cost Margin'!$I18="",'Cost Margin'!$B$9,'Cost Margin'!$I18),G$6)&lt;MAX(IF('Cost Margin'!$H18="",'Cost Margin'!$B$8,'Cost Margin'!$H18),G$5),0,IFERROR(NETWORKDAYS(MAX(IF('Cost Margin'!$H18="",'Cost Margin'!$B$8,'Cost Margin'!$H18),G$5),MIN(IF('Cost Margin'!$I18="",'Cost Margin'!$B$9,'Cost Margin'!$I18),G$6),INDEX(Settings!$J$7:$M$60,0,MATCH('Cost Margin'!$C18,Settings!$J$6:$M$6,0))),NETWORKDAYS(MAX(IF('Cost Margin'!$H18="",'Cost Margin'!$B$8,'Cost Margin'!$H18),G$5),MIN(IF('Cost Margin'!$I18="",'Cost Margin'!$B$9,'Cost Margin'!$I18),G$6)))))</f>
        <v>0</v>
      </c>
      <c r="H10" s="34">
        <f>IF(OR(H$5="",'Cost Margin'!$A18="",IF('Cost Margin'!$H18="",'Cost Margin'!$B$8,'Cost Margin'!$H18)="",IF('Cost Margin'!$I18="",'Cost Margin'!$B$9,'Cost Margin'!$I18)=""),0,IF(MIN(IF('Cost Margin'!$I18="",'Cost Margin'!$B$9,'Cost Margin'!$I18),H$6)&lt;MAX(IF('Cost Margin'!$H18="",'Cost Margin'!$B$8,'Cost Margin'!$H18),H$5),0,IFERROR(NETWORKDAYS(MAX(IF('Cost Margin'!$H18="",'Cost Margin'!$B$8,'Cost Margin'!$H18),H$5),MIN(IF('Cost Margin'!$I18="",'Cost Margin'!$B$9,'Cost Margin'!$I18),H$6),INDEX(Settings!$J$7:$M$60,0,MATCH('Cost Margin'!$C18,Settings!$J$6:$M$6,0))),NETWORKDAYS(MAX(IF('Cost Margin'!$H18="",'Cost Margin'!$B$8,'Cost Margin'!$H18),H$5),MIN(IF('Cost Margin'!$I18="",'Cost Margin'!$B$9,'Cost Margin'!$I18),H$6)))))</f>
        <v>0</v>
      </c>
      <c r="I10" s="34">
        <f>IF(OR(I$5="",'Cost Margin'!$A18="",IF('Cost Margin'!$H18="",'Cost Margin'!$B$8,'Cost Margin'!$H18)="",IF('Cost Margin'!$I18="",'Cost Margin'!$B$9,'Cost Margin'!$I18)=""),0,IF(MIN(IF('Cost Margin'!$I18="",'Cost Margin'!$B$9,'Cost Margin'!$I18),I$6)&lt;MAX(IF('Cost Margin'!$H18="",'Cost Margin'!$B$8,'Cost Margin'!$H18),I$5),0,IFERROR(NETWORKDAYS(MAX(IF('Cost Margin'!$H18="",'Cost Margin'!$B$8,'Cost Margin'!$H18),I$5),MIN(IF('Cost Margin'!$I18="",'Cost Margin'!$B$9,'Cost Margin'!$I18),I$6),INDEX(Settings!$J$7:$M$60,0,MATCH('Cost Margin'!$C18,Settings!$J$6:$M$6,0))),NETWORKDAYS(MAX(IF('Cost Margin'!$H18="",'Cost Margin'!$B$8,'Cost Margin'!$H18),I$5),MIN(IF('Cost Margin'!$I18="",'Cost Margin'!$B$9,'Cost Margin'!$I18),I$6)))))</f>
        <v>0</v>
      </c>
      <c r="J10" s="34">
        <f>IF(OR(J$5="",'Cost Margin'!$A18="",IF('Cost Margin'!$H18="",'Cost Margin'!$B$8,'Cost Margin'!$H18)="",IF('Cost Margin'!$I18="",'Cost Margin'!$B$9,'Cost Margin'!$I18)=""),0,IF(MIN(IF('Cost Margin'!$I18="",'Cost Margin'!$B$9,'Cost Margin'!$I18),J$6)&lt;MAX(IF('Cost Margin'!$H18="",'Cost Margin'!$B$8,'Cost Margin'!$H18),J$5),0,IFERROR(NETWORKDAYS(MAX(IF('Cost Margin'!$H18="",'Cost Margin'!$B$8,'Cost Margin'!$H18),J$5),MIN(IF('Cost Margin'!$I18="",'Cost Margin'!$B$9,'Cost Margin'!$I18),J$6),INDEX(Settings!$J$7:$M$60,0,MATCH('Cost Margin'!$C18,Settings!$J$6:$M$6,0))),NETWORKDAYS(MAX(IF('Cost Margin'!$H18="",'Cost Margin'!$B$8,'Cost Margin'!$H18),J$5),MIN(IF('Cost Margin'!$I18="",'Cost Margin'!$B$9,'Cost Margin'!$I18),J$6)))))</f>
        <v>0</v>
      </c>
      <c r="K10" s="34">
        <f>IF(OR(K$5="",'Cost Margin'!$A18="",IF('Cost Margin'!$H18="",'Cost Margin'!$B$8,'Cost Margin'!$H18)="",IF('Cost Margin'!$I18="",'Cost Margin'!$B$9,'Cost Margin'!$I18)=""),0,IF(MIN(IF('Cost Margin'!$I18="",'Cost Margin'!$B$9,'Cost Margin'!$I18),K$6)&lt;MAX(IF('Cost Margin'!$H18="",'Cost Margin'!$B$8,'Cost Margin'!$H18),K$5),0,IFERROR(NETWORKDAYS(MAX(IF('Cost Margin'!$H18="",'Cost Margin'!$B$8,'Cost Margin'!$H18),K$5),MIN(IF('Cost Margin'!$I18="",'Cost Margin'!$B$9,'Cost Margin'!$I18),K$6),INDEX(Settings!$J$7:$M$60,0,MATCH('Cost Margin'!$C18,Settings!$J$6:$M$6,0))),NETWORKDAYS(MAX(IF('Cost Margin'!$H18="",'Cost Margin'!$B$8,'Cost Margin'!$H18),K$5),MIN(IF('Cost Margin'!$I18="",'Cost Margin'!$B$9,'Cost Margin'!$I18),K$6)))))</f>
        <v>0</v>
      </c>
      <c r="L10" s="34">
        <f>IF(OR(L$5="",'Cost Margin'!$A18="",IF('Cost Margin'!$H18="",'Cost Margin'!$B$8,'Cost Margin'!$H18)="",IF('Cost Margin'!$I18="",'Cost Margin'!$B$9,'Cost Margin'!$I18)=""),0,IF(MIN(IF('Cost Margin'!$I18="",'Cost Margin'!$B$9,'Cost Margin'!$I18),L$6)&lt;MAX(IF('Cost Margin'!$H18="",'Cost Margin'!$B$8,'Cost Margin'!$H18),L$5),0,IFERROR(NETWORKDAYS(MAX(IF('Cost Margin'!$H18="",'Cost Margin'!$B$8,'Cost Margin'!$H18),L$5),MIN(IF('Cost Margin'!$I18="",'Cost Margin'!$B$9,'Cost Margin'!$I18),L$6),INDEX(Settings!$J$7:$M$60,0,MATCH('Cost Margin'!$C18,Settings!$J$6:$M$6,0))),NETWORKDAYS(MAX(IF('Cost Margin'!$H18="",'Cost Margin'!$B$8,'Cost Margin'!$H18),L$5),MIN(IF('Cost Margin'!$I18="",'Cost Margin'!$B$9,'Cost Margin'!$I18),L$6)))))</f>
        <v>0</v>
      </c>
      <c r="M10" s="34">
        <f>IF(OR(M$5="",'Cost Margin'!$A18="",IF('Cost Margin'!$H18="",'Cost Margin'!$B$8,'Cost Margin'!$H18)="",IF('Cost Margin'!$I18="",'Cost Margin'!$B$9,'Cost Margin'!$I18)=""),0,IF(MIN(IF('Cost Margin'!$I18="",'Cost Margin'!$B$9,'Cost Margin'!$I18),M$6)&lt;MAX(IF('Cost Margin'!$H18="",'Cost Margin'!$B$8,'Cost Margin'!$H18),M$5),0,IFERROR(NETWORKDAYS(MAX(IF('Cost Margin'!$H18="",'Cost Margin'!$B$8,'Cost Margin'!$H18),M$5),MIN(IF('Cost Margin'!$I18="",'Cost Margin'!$B$9,'Cost Margin'!$I18),M$6),INDEX(Settings!$J$7:$M$60,0,MATCH('Cost Margin'!$C18,Settings!$J$6:$M$6,0))),NETWORKDAYS(MAX(IF('Cost Margin'!$H18="",'Cost Margin'!$B$8,'Cost Margin'!$H18),M$5),MIN(IF('Cost Margin'!$I18="",'Cost Margin'!$B$9,'Cost Margin'!$I18),M$6)))))</f>
        <v>0</v>
      </c>
      <c r="N10" s="34">
        <f>IF(OR(N$5="",'Cost Margin'!$A18="",IF('Cost Margin'!$H18="",'Cost Margin'!$B$8,'Cost Margin'!$H18)="",IF('Cost Margin'!$I18="",'Cost Margin'!$B$9,'Cost Margin'!$I18)=""),0,IF(MIN(IF('Cost Margin'!$I18="",'Cost Margin'!$B$9,'Cost Margin'!$I18),N$6)&lt;MAX(IF('Cost Margin'!$H18="",'Cost Margin'!$B$8,'Cost Margin'!$H18),N$5),0,IFERROR(NETWORKDAYS(MAX(IF('Cost Margin'!$H18="",'Cost Margin'!$B$8,'Cost Margin'!$H18),N$5),MIN(IF('Cost Margin'!$I18="",'Cost Margin'!$B$9,'Cost Margin'!$I18),N$6),INDEX(Settings!$J$7:$M$60,0,MATCH('Cost Margin'!$C18,Settings!$J$6:$M$6,0))),NETWORKDAYS(MAX(IF('Cost Margin'!$H18="",'Cost Margin'!$B$8,'Cost Margin'!$H18),N$5),MIN(IF('Cost Margin'!$I18="",'Cost Margin'!$B$9,'Cost Margin'!$I18),N$6)))))</f>
        <v>0</v>
      </c>
      <c r="O10" s="34">
        <f>IF(OR(O$5="",'Cost Margin'!$A18="",IF('Cost Margin'!$H18="",'Cost Margin'!$B$8,'Cost Margin'!$H18)="",IF('Cost Margin'!$I18="",'Cost Margin'!$B$9,'Cost Margin'!$I18)=""),0,IF(MIN(IF('Cost Margin'!$I18="",'Cost Margin'!$B$9,'Cost Margin'!$I18),O$6)&lt;MAX(IF('Cost Margin'!$H18="",'Cost Margin'!$B$8,'Cost Margin'!$H18),O$5),0,IFERROR(NETWORKDAYS(MAX(IF('Cost Margin'!$H18="",'Cost Margin'!$B$8,'Cost Margin'!$H18),O$5),MIN(IF('Cost Margin'!$I18="",'Cost Margin'!$B$9,'Cost Margin'!$I18),O$6),INDEX(Settings!$J$7:$M$60,0,MATCH('Cost Margin'!$C18,Settings!$J$6:$M$6,0))),NETWORKDAYS(MAX(IF('Cost Margin'!$H18="",'Cost Margin'!$B$8,'Cost Margin'!$H18),O$5),MIN(IF('Cost Margin'!$I18="",'Cost Margin'!$B$9,'Cost Margin'!$I18),O$6)))))</f>
        <v>0</v>
      </c>
      <c r="P10" s="34">
        <f>IF(OR(P$5="",'Cost Margin'!$A18="",IF('Cost Margin'!$H18="",'Cost Margin'!$B$8,'Cost Margin'!$H18)="",IF('Cost Margin'!$I18="",'Cost Margin'!$B$9,'Cost Margin'!$I18)=""),0,IF(MIN(IF('Cost Margin'!$I18="",'Cost Margin'!$B$9,'Cost Margin'!$I18),P$6)&lt;MAX(IF('Cost Margin'!$H18="",'Cost Margin'!$B$8,'Cost Margin'!$H18),P$5),0,IFERROR(NETWORKDAYS(MAX(IF('Cost Margin'!$H18="",'Cost Margin'!$B$8,'Cost Margin'!$H18),P$5),MIN(IF('Cost Margin'!$I18="",'Cost Margin'!$B$9,'Cost Margin'!$I18),P$6),INDEX(Settings!$J$7:$M$60,0,MATCH('Cost Margin'!$C18,Settings!$J$6:$M$6,0))),NETWORKDAYS(MAX(IF('Cost Margin'!$H18="",'Cost Margin'!$B$8,'Cost Margin'!$H18),P$5),MIN(IF('Cost Margin'!$I18="",'Cost Margin'!$B$9,'Cost Margin'!$I18),P$6)))))</f>
        <v>0</v>
      </c>
      <c r="Q10" s="34">
        <f>IF(OR(Q$5="",'Cost Margin'!$A18="",IF('Cost Margin'!$H18="",'Cost Margin'!$B$8,'Cost Margin'!$H18)="",IF('Cost Margin'!$I18="",'Cost Margin'!$B$9,'Cost Margin'!$I18)=""),0,IF(MIN(IF('Cost Margin'!$I18="",'Cost Margin'!$B$9,'Cost Margin'!$I18),Q$6)&lt;MAX(IF('Cost Margin'!$H18="",'Cost Margin'!$B$8,'Cost Margin'!$H18),Q$5),0,IFERROR(NETWORKDAYS(MAX(IF('Cost Margin'!$H18="",'Cost Margin'!$B$8,'Cost Margin'!$H18),Q$5),MIN(IF('Cost Margin'!$I18="",'Cost Margin'!$B$9,'Cost Margin'!$I18),Q$6),INDEX(Settings!$J$7:$M$60,0,MATCH('Cost Margin'!$C18,Settings!$J$6:$M$6,0))),NETWORKDAYS(MAX(IF('Cost Margin'!$H18="",'Cost Margin'!$B$8,'Cost Margin'!$H18),Q$5),MIN(IF('Cost Margin'!$I18="",'Cost Margin'!$B$9,'Cost Margin'!$I18),Q$6)))))</f>
        <v>0</v>
      </c>
      <c r="R10" s="34">
        <f>IF(OR(R$5="",'Cost Margin'!$A18="",IF('Cost Margin'!$H18="",'Cost Margin'!$B$8,'Cost Margin'!$H18)="",IF('Cost Margin'!$I18="",'Cost Margin'!$B$9,'Cost Margin'!$I18)=""),0,IF(MIN(IF('Cost Margin'!$I18="",'Cost Margin'!$B$9,'Cost Margin'!$I18),R$6)&lt;MAX(IF('Cost Margin'!$H18="",'Cost Margin'!$B$8,'Cost Margin'!$H18),R$5),0,IFERROR(NETWORKDAYS(MAX(IF('Cost Margin'!$H18="",'Cost Margin'!$B$8,'Cost Margin'!$H18),R$5),MIN(IF('Cost Margin'!$I18="",'Cost Margin'!$B$9,'Cost Margin'!$I18),R$6),INDEX(Settings!$J$7:$M$60,0,MATCH('Cost Margin'!$C18,Settings!$J$6:$M$6,0))),NETWORKDAYS(MAX(IF('Cost Margin'!$H18="",'Cost Margin'!$B$8,'Cost Margin'!$H18),R$5),MIN(IF('Cost Margin'!$I18="",'Cost Margin'!$B$9,'Cost Margin'!$I18),R$6)))))</f>
        <v>0</v>
      </c>
      <c r="S10" s="34">
        <f>IF(OR(S$5="",'Cost Margin'!$A18="",IF('Cost Margin'!$H18="",'Cost Margin'!$B$8,'Cost Margin'!$H18)="",IF('Cost Margin'!$I18="",'Cost Margin'!$B$9,'Cost Margin'!$I18)=""),0,IF(MIN(IF('Cost Margin'!$I18="",'Cost Margin'!$B$9,'Cost Margin'!$I18),S$6)&lt;MAX(IF('Cost Margin'!$H18="",'Cost Margin'!$B$8,'Cost Margin'!$H18),S$5),0,IFERROR(NETWORKDAYS(MAX(IF('Cost Margin'!$H18="",'Cost Margin'!$B$8,'Cost Margin'!$H18),S$5),MIN(IF('Cost Margin'!$I18="",'Cost Margin'!$B$9,'Cost Margin'!$I18),S$6),INDEX(Settings!$J$7:$M$60,0,MATCH('Cost Margin'!$C18,Settings!$J$6:$M$6,0))),NETWORKDAYS(MAX(IF('Cost Margin'!$H18="",'Cost Margin'!$B$8,'Cost Margin'!$H18),S$5),MIN(IF('Cost Margin'!$I18="",'Cost Margin'!$B$9,'Cost Margin'!$I18),S$6)))))</f>
        <v>0</v>
      </c>
      <c r="T10" s="34">
        <f>IF(OR(T$5="",'Cost Margin'!$A18="",IF('Cost Margin'!$H18="",'Cost Margin'!$B$8,'Cost Margin'!$H18)="",IF('Cost Margin'!$I18="",'Cost Margin'!$B$9,'Cost Margin'!$I18)=""),0,IF(MIN(IF('Cost Margin'!$I18="",'Cost Margin'!$B$9,'Cost Margin'!$I18),T$6)&lt;MAX(IF('Cost Margin'!$H18="",'Cost Margin'!$B$8,'Cost Margin'!$H18),T$5),0,IFERROR(NETWORKDAYS(MAX(IF('Cost Margin'!$H18="",'Cost Margin'!$B$8,'Cost Margin'!$H18),T$5),MIN(IF('Cost Margin'!$I18="",'Cost Margin'!$B$9,'Cost Margin'!$I18),T$6),INDEX(Settings!$J$7:$M$60,0,MATCH('Cost Margin'!$C18,Settings!$J$6:$M$6,0))),NETWORKDAYS(MAX(IF('Cost Margin'!$H18="",'Cost Margin'!$B$8,'Cost Margin'!$H18),T$5),MIN(IF('Cost Margin'!$I18="",'Cost Margin'!$B$9,'Cost Margin'!$I18),T$6)))))</f>
        <v>0</v>
      </c>
      <c r="U10" s="34">
        <f>IF(OR(U$5="",'Cost Margin'!$A18="",IF('Cost Margin'!$H18="",'Cost Margin'!$B$8,'Cost Margin'!$H18)="",IF('Cost Margin'!$I18="",'Cost Margin'!$B$9,'Cost Margin'!$I18)=""),0,IF(MIN(IF('Cost Margin'!$I18="",'Cost Margin'!$B$9,'Cost Margin'!$I18),U$6)&lt;MAX(IF('Cost Margin'!$H18="",'Cost Margin'!$B$8,'Cost Margin'!$H18),U$5),0,IFERROR(NETWORKDAYS(MAX(IF('Cost Margin'!$H18="",'Cost Margin'!$B$8,'Cost Margin'!$H18),U$5),MIN(IF('Cost Margin'!$I18="",'Cost Margin'!$B$9,'Cost Margin'!$I18),U$6),INDEX(Settings!$J$7:$M$60,0,MATCH('Cost Margin'!$C18,Settings!$J$6:$M$6,0))),NETWORKDAYS(MAX(IF('Cost Margin'!$H18="",'Cost Margin'!$B$8,'Cost Margin'!$H18),U$5),MIN(IF('Cost Margin'!$I18="",'Cost Margin'!$B$9,'Cost Margin'!$I18),U$6)))))</f>
        <v>0</v>
      </c>
      <c r="V10" s="34">
        <f>IF(OR(V$5="",'Cost Margin'!$A18="",IF('Cost Margin'!$H18="",'Cost Margin'!$B$8,'Cost Margin'!$H18)="",IF('Cost Margin'!$I18="",'Cost Margin'!$B$9,'Cost Margin'!$I18)=""),0,IF(MIN(IF('Cost Margin'!$I18="",'Cost Margin'!$B$9,'Cost Margin'!$I18),V$6)&lt;MAX(IF('Cost Margin'!$H18="",'Cost Margin'!$B$8,'Cost Margin'!$H18),V$5),0,IFERROR(NETWORKDAYS(MAX(IF('Cost Margin'!$H18="",'Cost Margin'!$B$8,'Cost Margin'!$H18),V$5),MIN(IF('Cost Margin'!$I18="",'Cost Margin'!$B$9,'Cost Margin'!$I18),V$6),INDEX(Settings!$J$7:$M$60,0,MATCH('Cost Margin'!$C18,Settings!$J$6:$M$6,0))),NETWORKDAYS(MAX(IF('Cost Margin'!$H18="",'Cost Margin'!$B$8,'Cost Margin'!$H18),V$5),MIN(IF('Cost Margin'!$I18="",'Cost Margin'!$B$9,'Cost Margin'!$I18),V$6)))))</f>
        <v>0</v>
      </c>
      <c r="W10" s="34">
        <f>IF(OR(W$5="",'Cost Margin'!$A18="",IF('Cost Margin'!$H18="",'Cost Margin'!$B$8,'Cost Margin'!$H18)="",IF('Cost Margin'!$I18="",'Cost Margin'!$B$9,'Cost Margin'!$I18)=""),0,IF(MIN(IF('Cost Margin'!$I18="",'Cost Margin'!$B$9,'Cost Margin'!$I18),W$6)&lt;MAX(IF('Cost Margin'!$H18="",'Cost Margin'!$B$8,'Cost Margin'!$H18),W$5),0,IFERROR(NETWORKDAYS(MAX(IF('Cost Margin'!$H18="",'Cost Margin'!$B$8,'Cost Margin'!$H18),W$5),MIN(IF('Cost Margin'!$I18="",'Cost Margin'!$B$9,'Cost Margin'!$I18),W$6),INDEX(Settings!$J$7:$M$60,0,MATCH('Cost Margin'!$C18,Settings!$J$6:$M$6,0))),NETWORKDAYS(MAX(IF('Cost Margin'!$H18="",'Cost Margin'!$B$8,'Cost Margin'!$H18),W$5),MIN(IF('Cost Margin'!$I18="",'Cost Margin'!$B$9,'Cost Margin'!$I18),W$6)))))</f>
        <v>0</v>
      </c>
      <c r="X10" s="34">
        <f>IF(OR(X$5="",'Cost Margin'!$A18="",IF('Cost Margin'!$H18="",'Cost Margin'!$B$8,'Cost Margin'!$H18)="",IF('Cost Margin'!$I18="",'Cost Margin'!$B$9,'Cost Margin'!$I18)=""),0,IF(MIN(IF('Cost Margin'!$I18="",'Cost Margin'!$B$9,'Cost Margin'!$I18),X$6)&lt;MAX(IF('Cost Margin'!$H18="",'Cost Margin'!$B$8,'Cost Margin'!$H18),X$5),0,IFERROR(NETWORKDAYS(MAX(IF('Cost Margin'!$H18="",'Cost Margin'!$B$8,'Cost Margin'!$H18),X$5),MIN(IF('Cost Margin'!$I18="",'Cost Margin'!$B$9,'Cost Margin'!$I18),X$6),INDEX(Settings!$J$7:$M$60,0,MATCH('Cost Margin'!$C18,Settings!$J$6:$M$6,0))),NETWORKDAYS(MAX(IF('Cost Margin'!$H18="",'Cost Margin'!$B$8,'Cost Margin'!$H18),X$5),MIN(IF('Cost Margin'!$I18="",'Cost Margin'!$B$9,'Cost Margin'!$I18),X$6)))))</f>
        <v>0</v>
      </c>
      <c r="Y10" s="34">
        <f>IF(OR(Y$5="",'Cost Margin'!$A18="",IF('Cost Margin'!$H18="",'Cost Margin'!$B$8,'Cost Margin'!$H18)="",IF('Cost Margin'!$I18="",'Cost Margin'!$B$9,'Cost Margin'!$I18)=""),0,IF(MIN(IF('Cost Margin'!$I18="",'Cost Margin'!$B$9,'Cost Margin'!$I18),Y$6)&lt;MAX(IF('Cost Margin'!$H18="",'Cost Margin'!$B$8,'Cost Margin'!$H18),Y$5),0,IFERROR(NETWORKDAYS(MAX(IF('Cost Margin'!$H18="",'Cost Margin'!$B$8,'Cost Margin'!$H18),Y$5),MIN(IF('Cost Margin'!$I18="",'Cost Margin'!$B$9,'Cost Margin'!$I18),Y$6),INDEX(Settings!$J$7:$M$60,0,MATCH('Cost Margin'!$C18,Settings!$J$6:$M$6,0))),NETWORKDAYS(MAX(IF('Cost Margin'!$H18="",'Cost Margin'!$B$8,'Cost Margin'!$H18),Y$5),MIN(IF('Cost Margin'!$I18="",'Cost Margin'!$B$9,'Cost Margin'!$I18),Y$6)))))</f>
        <v>0</v>
      </c>
      <c r="Z10" s="34">
        <f>IF(OR(Z$5="",'Cost Margin'!$A18="",IF('Cost Margin'!$H18="",'Cost Margin'!$B$8,'Cost Margin'!$H18)="",IF('Cost Margin'!$I18="",'Cost Margin'!$B$9,'Cost Margin'!$I18)=""),0,IF(MIN(IF('Cost Margin'!$I18="",'Cost Margin'!$B$9,'Cost Margin'!$I18),Z$6)&lt;MAX(IF('Cost Margin'!$H18="",'Cost Margin'!$B$8,'Cost Margin'!$H18),Z$5),0,IFERROR(NETWORKDAYS(MAX(IF('Cost Margin'!$H18="",'Cost Margin'!$B$8,'Cost Margin'!$H18),Z$5),MIN(IF('Cost Margin'!$I18="",'Cost Margin'!$B$9,'Cost Margin'!$I18),Z$6),INDEX(Settings!$J$7:$M$60,0,MATCH('Cost Margin'!$C18,Settings!$J$6:$M$6,0))),NETWORKDAYS(MAX(IF('Cost Margin'!$H18="",'Cost Margin'!$B$8,'Cost Margin'!$H18),Z$5),MIN(IF('Cost Margin'!$I18="",'Cost Margin'!$B$9,'Cost Margin'!$I18),Z$6)))))</f>
        <v>0</v>
      </c>
    </row>
    <row r="11" spans="1:27" x14ac:dyDescent="0.2">
      <c r="A11">
        <v>3</v>
      </c>
      <c r="B11" s="33" t="str">
        <f>IF('Cost Margin'!A19="","",'Cost Margin'!A19)</f>
        <v/>
      </c>
      <c r="C11" s="34">
        <f>IF(OR(C$5="",'Cost Margin'!$A19="",IF('Cost Margin'!$H19="",'Cost Margin'!$B$8,'Cost Margin'!$H19)="",IF('Cost Margin'!$I19="",'Cost Margin'!$B$9,'Cost Margin'!$I19)=""),0,IF(MIN(IF('Cost Margin'!$I19="",'Cost Margin'!$B$9,'Cost Margin'!$I19),C$6)&lt;MAX(IF('Cost Margin'!$H19="",'Cost Margin'!$B$8,'Cost Margin'!$H19),C$5),0,IFERROR(NETWORKDAYS(MAX(IF('Cost Margin'!$H19="",'Cost Margin'!$B$8,'Cost Margin'!$H19),C$5),MIN(IF('Cost Margin'!$I19="",'Cost Margin'!$B$9,'Cost Margin'!$I19),C$6),INDEX(Settings!$J$7:$M$60,0,MATCH('Cost Margin'!$C19,Settings!$J$6:$M$6,0))),NETWORKDAYS(MAX(IF('Cost Margin'!$H19="",'Cost Margin'!$B$8,'Cost Margin'!$H19),C$5),MIN(IF('Cost Margin'!$I19="",'Cost Margin'!$B$9,'Cost Margin'!$I19),C$6)))))</f>
        <v>0</v>
      </c>
      <c r="D11" s="34">
        <f>IF(OR(D$5="",'Cost Margin'!$A19="",IF('Cost Margin'!$H19="",'Cost Margin'!$B$8,'Cost Margin'!$H19)="",IF('Cost Margin'!$I19="",'Cost Margin'!$B$9,'Cost Margin'!$I19)=""),0,IF(MIN(IF('Cost Margin'!$I19="",'Cost Margin'!$B$9,'Cost Margin'!$I19),D$6)&lt;MAX(IF('Cost Margin'!$H19="",'Cost Margin'!$B$8,'Cost Margin'!$H19),D$5),0,IFERROR(NETWORKDAYS(MAX(IF('Cost Margin'!$H19="",'Cost Margin'!$B$8,'Cost Margin'!$H19),D$5),MIN(IF('Cost Margin'!$I19="",'Cost Margin'!$B$9,'Cost Margin'!$I19),D$6),INDEX(Settings!$J$7:$M$60,0,MATCH('Cost Margin'!$C19,Settings!$J$6:$M$6,0))),NETWORKDAYS(MAX(IF('Cost Margin'!$H19="",'Cost Margin'!$B$8,'Cost Margin'!$H19),D$5),MIN(IF('Cost Margin'!$I19="",'Cost Margin'!$B$9,'Cost Margin'!$I19),D$6)))))</f>
        <v>0</v>
      </c>
      <c r="E11" s="34">
        <f>IF(OR(E$5="",'Cost Margin'!$A19="",IF('Cost Margin'!$H19="",'Cost Margin'!$B$8,'Cost Margin'!$H19)="",IF('Cost Margin'!$I19="",'Cost Margin'!$B$9,'Cost Margin'!$I19)=""),0,IF(MIN(IF('Cost Margin'!$I19="",'Cost Margin'!$B$9,'Cost Margin'!$I19),E$6)&lt;MAX(IF('Cost Margin'!$H19="",'Cost Margin'!$B$8,'Cost Margin'!$H19),E$5),0,IFERROR(NETWORKDAYS(MAX(IF('Cost Margin'!$H19="",'Cost Margin'!$B$8,'Cost Margin'!$H19),E$5),MIN(IF('Cost Margin'!$I19="",'Cost Margin'!$B$9,'Cost Margin'!$I19),E$6),INDEX(Settings!$J$7:$M$60,0,MATCH('Cost Margin'!$C19,Settings!$J$6:$M$6,0))),NETWORKDAYS(MAX(IF('Cost Margin'!$H19="",'Cost Margin'!$B$8,'Cost Margin'!$H19),E$5),MIN(IF('Cost Margin'!$I19="",'Cost Margin'!$B$9,'Cost Margin'!$I19),E$6)))))</f>
        <v>0</v>
      </c>
      <c r="F11" s="34">
        <f>IF(OR(F$5="",'Cost Margin'!$A19="",IF('Cost Margin'!$H19="",'Cost Margin'!$B$8,'Cost Margin'!$H19)="",IF('Cost Margin'!$I19="",'Cost Margin'!$B$9,'Cost Margin'!$I19)=""),0,IF(MIN(IF('Cost Margin'!$I19="",'Cost Margin'!$B$9,'Cost Margin'!$I19),F$6)&lt;MAX(IF('Cost Margin'!$H19="",'Cost Margin'!$B$8,'Cost Margin'!$H19),F$5),0,IFERROR(NETWORKDAYS(MAX(IF('Cost Margin'!$H19="",'Cost Margin'!$B$8,'Cost Margin'!$H19),F$5),MIN(IF('Cost Margin'!$I19="",'Cost Margin'!$B$9,'Cost Margin'!$I19),F$6),INDEX(Settings!$J$7:$M$60,0,MATCH('Cost Margin'!$C19,Settings!$J$6:$M$6,0))),NETWORKDAYS(MAX(IF('Cost Margin'!$H19="",'Cost Margin'!$B$8,'Cost Margin'!$H19),F$5),MIN(IF('Cost Margin'!$I19="",'Cost Margin'!$B$9,'Cost Margin'!$I19),F$6)))))</f>
        <v>0</v>
      </c>
      <c r="G11" s="34">
        <f>IF(OR(G$5="",'Cost Margin'!$A19="",IF('Cost Margin'!$H19="",'Cost Margin'!$B$8,'Cost Margin'!$H19)="",IF('Cost Margin'!$I19="",'Cost Margin'!$B$9,'Cost Margin'!$I19)=""),0,IF(MIN(IF('Cost Margin'!$I19="",'Cost Margin'!$B$9,'Cost Margin'!$I19),G$6)&lt;MAX(IF('Cost Margin'!$H19="",'Cost Margin'!$B$8,'Cost Margin'!$H19),G$5),0,IFERROR(NETWORKDAYS(MAX(IF('Cost Margin'!$H19="",'Cost Margin'!$B$8,'Cost Margin'!$H19),G$5),MIN(IF('Cost Margin'!$I19="",'Cost Margin'!$B$9,'Cost Margin'!$I19),G$6),INDEX(Settings!$J$7:$M$60,0,MATCH('Cost Margin'!$C19,Settings!$J$6:$M$6,0))),NETWORKDAYS(MAX(IF('Cost Margin'!$H19="",'Cost Margin'!$B$8,'Cost Margin'!$H19),G$5),MIN(IF('Cost Margin'!$I19="",'Cost Margin'!$B$9,'Cost Margin'!$I19),G$6)))))</f>
        <v>0</v>
      </c>
      <c r="H11" s="34">
        <f>IF(OR(H$5="",'Cost Margin'!$A19="",IF('Cost Margin'!$H19="",'Cost Margin'!$B$8,'Cost Margin'!$H19)="",IF('Cost Margin'!$I19="",'Cost Margin'!$B$9,'Cost Margin'!$I19)=""),0,IF(MIN(IF('Cost Margin'!$I19="",'Cost Margin'!$B$9,'Cost Margin'!$I19),H$6)&lt;MAX(IF('Cost Margin'!$H19="",'Cost Margin'!$B$8,'Cost Margin'!$H19),H$5),0,IFERROR(NETWORKDAYS(MAX(IF('Cost Margin'!$H19="",'Cost Margin'!$B$8,'Cost Margin'!$H19),H$5),MIN(IF('Cost Margin'!$I19="",'Cost Margin'!$B$9,'Cost Margin'!$I19),H$6),INDEX(Settings!$J$7:$M$60,0,MATCH('Cost Margin'!$C19,Settings!$J$6:$M$6,0))),NETWORKDAYS(MAX(IF('Cost Margin'!$H19="",'Cost Margin'!$B$8,'Cost Margin'!$H19),H$5),MIN(IF('Cost Margin'!$I19="",'Cost Margin'!$B$9,'Cost Margin'!$I19),H$6)))))</f>
        <v>0</v>
      </c>
      <c r="I11" s="34">
        <f>IF(OR(I$5="",'Cost Margin'!$A19="",IF('Cost Margin'!$H19="",'Cost Margin'!$B$8,'Cost Margin'!$H19)="",IF('Cost Margin'!$I19="",'Cost Margin'!$B$9,'Cost Margin'!$I19)=""),0,IF(MIN(IF('Cost Margin'!$I19="",'Cost Margin'!$B$9,'Cost Margin'!$I19),I$6)&lt;MAX(IF('Cost Margin'!$H19="",'Cost Margin'!$B$8,'Cost Margin'!$H19),I$5),0,IFERROR(NETWORKDAYS(MAX(IF('Cost Margin'!$H19="",'Cost Margin'!$B$8,'Cost Margin'!$H19),I$5),MIN(IF('Cost Margin'!$I19="",'Cost Margin'!$B$9,'Cost Margin'!$I19),I$6),INDEX(Settings!$J$7:$M$60,0,MATCH('Cost Margin'!$C19,Settings!$J$6:$M$6,0))),NETWORKDAYS(MAX(IF('Cost Margin'!$H19="",'Cost Margin'!$B$8,'Cost Margin'!$H19),I$5),MIN(IF('Cost Margin'!$I19="",'Cost Margin'!$B$9,'Cost Margin'!$I19),I$6)))))</f>
        <v>0</v>
      </c>
      <c r="J11" s="34">
        <f>IF(OR(J$5="",'Cost Margin'!$A19="",IF('Cost Margin'!$H19="",'Cost Margin'!$B$8,'Cost Margin'!$H19)="",IF('Cost Margin'!$I19="",'Cost Margin'!$B$9,'Cost Margin'!$I19)=""),0,IF(MIN(IF('Cost Margin'!$I19="",'Cost Margin'!$B$9,'Cost Margin'!$I19),J$6)&lt;MAX(IF('Cost Margin'!$H19="",'Cost Margin'!$B$8,'Cost Margin'!$H19),J$5),0,IFERROR(NETWORKDAYS(MAX(IF('Cost Margin'!$H19="",'Cost Margin'!$B$8,'Cost Margin'!$H19),J$5),MIN(IF('Cost Margin'!$I19="",'Cost Margin'!$B$9,'Cost Margin'!$I19),J$6),INDEX(Settings!$J$7:$M$60,0,MATCH('Cost Margin'!$C19,Settings!$J$6:$M$6,0))),NETWORKDAYS(MAX(IF('Cost Margin'!$H19="",'Cost Margin'!$B$8,'Cost Margin'!$H19),J$5),MIN(IF('Cost Margin'!$I19="",'Cost Margin'!$B$9,'Cost Margin'!$I19),J$6)))))</f>
        <v>0</v>
      </c>
      <c r="K11" s="34">
        <f>IF(OR(K$5="",'Cost Margin'!$A19="",IF('Cost Margin'!$H19="",'Cost Margin'!$B$8,'Cost Margin'!$H19)="",IF('Cost Margin'!$I19="",'Cost Margin'!$B$9,'Cost Margin'!$I19)=""),0,IF(MIN(IF('Cost Margin'!$I19="",'Cost Margin'!$B$9,'Cost Margin'!$I19),K$6)&lt;MAX(IF('Cost Margin'!$H19="",'Cost Margin'!$B$8,'Cost Margin'!$H19),K$5),0,IFERROR(NETWORKDAYS(MAX(IF('Cost Margin'!$H19="",'Cost Margin'!$B$8,'Cost Margin'!$H19),K$5),MIN(IF('Cost Margin'!$I19="",'Cost Margin'!$B$9,'Cost Margin'!$I19),K$6),INDEX(Settings!$J$7:$M$60,0,MATCH('Cost Margin'!$C19,Settings!$J$6:$M$6,0))),NETWORKDAYS(MAX(IF('Cost Margin'!$H19="",'Cost Margin'!$B$8,'Cost Margin'!$H19),K$5),MIN(IF('Cost Margin'!$I19="",'Cost Margin'!$B$9,'Cost Margin'!$I19),K$6)))))</f>
        <v>0</v>
      </c>
      <c r="L11" s="34">
        <f>IF(OR(L$5="",'Cost Margin'!$A19="",IF('Cost Margin'!$H19="",'Cost Margin'!$B$8,'Cost Margin'!$H19)="",IF('Cost Margin'!$I19="",'Cost Margin'!$B$9,'Cost Margin'!$I19)=""),0,IF(MIN(IF('Cost Margin'!$I19="",'Cost Margin'!$B$9,'Cost Margin'!$I19),L$6)&lt;MAX(IF('Cost Margin'!$H19="",'Cost Margin'!$B$8,'Cost Margin'!$H19),L$5),0,IFERROR(NETWORKDAYS(MAX(IF('Cost Margin'!$H19="",'Cost Margin'!$B$8,'Cost Margin'!$H19),L$5),MIN(IF('Cost Margin'!$I19="",'Cost Margin'!$B$9,'Cost Margin'!$I19),L$6),INDEX(Settings!$J$7:$M$60,0,MATCH('Cost Margin'!$C19,Settings!$J$6:$M$6,0))),NETWORKDAYS(MAX(IF('Cost Margin'!$H19="",'Cost Margin'!$B$8,'Cost Margin'!$H19),L$5),MIN(IF('Cost Margin'!$I19="",'Cost Margin'!$B$9,'Cost Margin'!$I19),L$6)))))</f>
        <v>0</v>
      </c>
      <c r="M11" s="34">
        <f>IF(OR(M$5="",'Cost Margin'!$A19="",IF('Cost Margin'!$H19="",'Cost Margin'!$B$8,'Cost Margin'!$H19)="",IF('Cost Margin'!$I19="",'Cost Margin'!$B$9,'Cost Margin'!$I19)=""),0,IF(MIN(IF('Cost Margin'!$I19="",'Cost Margin'!$B$9,'Cost Margin'!$I19),M$6)&lt;MAX(IF('Cost Margin'!$H19="",'Cost Margin'!$B$8,'Cost Margin'!$H19),M$5),0,IFERROR(NETWORKDAYS(MAX(IF('Cost Margin'!$H19="",'Cost Margin'!$B$8,'Cost Margin'!$H19),M$5),MIN(IF('Cost Margin'!$I19="",'Cost Margin'!$B$9,'Cost Margin'!$I19),M$6),INDEX(Settings!$J$7:$M$60,0,MATCH('Cost Margin'!$C19,Settings!$J$6:$M$6,0))),NETWORKDAYS(MAX(IF('Cost Margin'!$H19="",'Cost Margin'!$B$8,'Cost Margin'!$H19),M$5),MIN(IF('Cost Margin'!$I19="",'Cost Margin'!$B$9,'Cost Margin'!$I19),M$6)))))</f>
        <v>0</v>
      </c>
      <c r="N11" s="34">
        <f>IF(OR(N$5="",'Cost Margin'!$A19="",IF('Cost Margin'!$H19="",'Cost Margin'!$B$8,'Cost Margin'!$H19)="",IF('Cost Margin'!$I19="",'Cost Margin'!$B$9,'Cost Margin'!$I19)=""),0,IF(MIN(IF('Cost Margin'!$I19="",'Cost Margin'!$B$9,'Cost Margin'!$I19),N$6)&lt;MAX(IF('Cost Margin'!$H19="",'Cost Margin'!$B$8,'Cost Margin'!$H19),N$5),0,IFERROR(NETWORKDAYS(MAX(IF('Cost Margin'!$H19="",'Cost Margin'!$B$8,'Cost Margin'!$H19),N$5),MIN(IF('Cost Margin'!$I19="",'Cost Margin'!$B$9,'Cost Margin'!$I19),N$6),INDEX(Settings!$J$7:$M$60,0,MATCH('Cost Margin'!$C19,Settings!$J$6:$M$6,0))),NETWORKDAYS(MAX(IF('Cost Margin'!$H19="",'Cost Margin'!$B$8,'Cost Margin'!$H19),N$5),MIN(IF('Cost Margin'!$I19="",'Cost Margin'!$B$9,'Cost Margin'!$I19),N$6)))))</f>
        <v>0</v>
      </c>
      <c r="O11" s="34">
        <f>IF(OR(O$5="",'Cost Margin'!$A19="",IF('Cost Margin'!$H19="",'Cost Margin'!$B$8,'Cost Margin'!$H19)="",IF('Cost Margin'!$I19="",'Cost Margin'!$B$9,'Cost Margin'!$I19)=""),0,IF(MIN(IF('Cost Margin'!$I19="",'Cost Margin'!$B$9,'Cost Margin'!$I19),O$6)&lt;MAX(IF('Cost Margin'!$H19="",'Cost Margin'!$B$8,'Cost Margin'!$H19),O$5),0,IFERROR(NETWORKDAYS(MAX(IF('Cost Margin'!$H19="",'Cost Margin'!$B$8,'Cost Margin'!$H19),O$5),MIN(IF('Cost Margin'!$I19="",'Cost Margin'!$B$9,'Cost Margin'!$I19),O$6),INDEX(Settings!$J$7:$M$60,0,MATCH('Cost Margin'!$C19,Settings!$J$6:$M$6,0))),NETWORKDAYS(MAX(IF('Cost Margin'!$H19="",'Cost Margin'!$B$8,'Cost Margin'!$H19),O$5),MIN(IF('Cost Margin'!$I19="",'Cost Margin'!$B$9,'Cost Margin'!$I19),O$6)))))</f>
        <v>0</v>
      </c>
      <c r="P11" s="34">
        <f>IF(OR(P$5="",'Cost Margin'!$A19="",IF('Cost Margin'!$H19="",'Cost Margin'!$B$8,'Cost Margin'!$H19)="",IF('Cost Margin'!$I19="",'Cost Margin'!$B$9,'Cost Margin'!$I19)=""),0,IF(MIN(IF('Cost Margin'!$I19="",'Cost Margin'!$B$9,'Cost Margin'!$I19),P$6)&lt;MAX(IF('Cost Margin'!$H19="",'Cost Margin'!$B$8,'Cost Margin'!$H19),P$5),0,IFERROR(NETWORKDAYS(MAX(IF('Cost Margin'!$H19="",'Cost Margin'!$B$8,'Cost Margin'!$H19),P$5),MIN(IF('Cost Margin'!$I19="",'Cost Margin'!$B$9,'Cost Margin'!$I19),P$6),INDEX(Settings!$J$7:$M$60,0,MATCH('Cost Margin'!$C19,Settings!$J$6:$M$6,0))),NETWORKDAYS(MAX(IF('Cost Margin'!$H19="",'Cost Margin'!$B$8,'Cost Margin'!$H19),P$5),MIN(IF('Cost Margin'!$I19="",'Cost Margin'!$B$9,'Cost Margin'!$I19),P$6)))))</f>
        <v>0</v>
      </c>
      <c r="Q11" s="34">
        <f>IF(OR(Q$5="",'Cost Margin'!$A19="",IF('Cost Margin'!$H19="",'Cost Margin'!$B$8,'Cost Margin'!$H19)="",IF('Cost Margin'!$I19="",'Cost Margin'!$B$9,'Cost Margin'!$I19)=""),0,IF(MIN(IF('Cost Margin'!$I19="",'Cost Margin'!$B$9,'Cost Margin'!$I19),Q$6)&lt;MAX(IF('Cost Margin'!$H19="",'Cost Margin'!$B$8,'Cost Margin'!$H19),Q$5),0,IFERROR(NETWORKDAYS(MAX(IF('Cost Margin'!$H19="",'Cost Margin'!$B$8,'Cost Margin'!$H19),Q$5),MIN(IF('Cost Margin'!$I19="",'Cost Margin'!$B$9,'Cost Margin'!$I19),Q$6),INDEX(Settings!$J$7:$M$60,0,MATCH('Cost Margin'!$C19,Settings!$J$6:$M$6,0))),NETWORKDAYS(MAX(IF('Cost Margin'!$H19="",'Cost Margin'!$B$8,'Cost Margin'!$H19),Q$5),MIN(IF('Cost Margin'!$I19="",'Cost Margin'!$B$9,'Cost Margin'!$I19),Q$6)))))</f>
        <v>0</v>
      </c>
      <c r="R11" s="34">
        <f>IF(OR(R$5="",'Cost Margin'!$A19="",IF('Cost Margin'!$H19="",'Cost Margin'!$B$8,'Cost Margin'!$H19)="",IF('Cost Margin'!$I19="",'Cost Margin'!$B$9,'Cost Margin'!$I19)=""),0,IF(MIN(IF('Cost Margin'!$I19="",'Cost Margin'!$B$9,'Cost Margin'!$I19),R$6)&lt;MAX(IF('Cost Margin'!$H19="",'Cost Margin'!$B$8,'Cost Margin'!$H19),R$5),0,IFERROR(NETWORKDAYS(MAX(IF('Cost Margin'!$H19="",'Cost Margin'!$B$8,'Cost Margin'!$H19),R$5),MIN(IF('Cost Margin'!$I19="",'Cost Margin'!$B$9,'Cost Margin'!$I19),R$6),INDEX(Settings!$J$7:$M$60,0,MATCH('Cost Margin'!$C19,Settings!$J$6:$M$6,0))),NETWORKDAYS(MAX(IF('Cost Margin'!$H19="",'Cost Margin'!$B$8,'Cost Margin'!$H19),R$5),MIN(IF('Cost Margin'!$I19="",'Cost Margin'!$B$9,'Cost Margin'!$I19),R$6)))))</f>
        <v>0</v>
      </c>
      <c r="S11" s="34">
        <f>IF(OR(S$5="",'Cost Margin'!$A19="",IF('Cost Margin'!$H19="",'Cost Margin'!$B$8,'Cost Margin'!$H19)="",IF('Cost Margin'!$I19="",'Cost Margin'!$B$9,'Cost Margin'!$I19)=""),0,IF(MIN(IF('Cost Margin'!$I19="",'Cost Margin'!$B$9,'Cost Margin'!$I19),S$6)&lt;MAX(IF('Cost Margin'!$H19="",'Cost Margin'!$B$8,'Cost Margin'!$H19),S$5),0,IFERROR(NETWORKDAYS(MAX(IF('Cost Margin'!$H19="",'Cost Margin'!$B$8,'Cost Margin'!$H19),S$5),MIN(IF('Cost Margin'!$I19="",'Cost Margin'!$B$9,'Cost Margin'!$I19),S$6),INDEX(Settings!$J$7:$M$60,0,MATCH('Cost Margin'!$C19,Settings!$J$6:$M$6,0))),NETWORKDAYS(MAX(IF('Cost Margin'!$H19="",'Cost Margin'!$B$8,'Cost Margin'!$H19),S$5),MIN(IF('Cost Margin'!$I19="",'Cost Margin'!$B$9,'Cost Margin'!$I19),S$6)))))</f>
        <v>0</v>
      </c>
      <c r="T11" s="34">
        <f>IF(OR(T$5="",'Cost Margin'!$A19="",IF('Cost Margin'!$H19="",'Cost Margin'!$B$8,'Cost Margin'!$H19)="",IF('Cost Margin'!$I19="",'Cost Margin'!$B$9,'Cost Margin'!$I19)=""),0,IF(MIN(IF('Cost Margin'!$I19="",'Cost Margin'!$B$9,'Cost Margin'!$I19),T$6)&lt;MAX(IF('Cost Margin'!$H19="",'Cost Margin'!$B$8,'Cost Margin'!$H19),T$5),0,IFERROR(NETWORKDAYS(MAX(IF('Cost Margin'!$H19="",'Cost Margin'!$B$8,'Cost Margin'!$H19),T$5),MIN(IF('Cost Margin'!$I19="",'Cost Margin'!$B$9,'Cost Margin'!$I19),T$6),INDEX(Settings!$J$7:$M$60,0,MATCH('Cost Margin'!$C19,Settings!$J$6:$M$6,0))),NETWORKDAYS(MAX(IF('Cost Margin'!$H19="",'Cost Margin'!$B$8,'Cost Margin'!$H19),T$5),MIN(IF('Cost Margin'!$I19="",'Cost Margin'!$B$9,'Cost Margin'!$I19),T$6)))))</f>
        <v>0</v>
      </c>
      <c r="U11" s="34">
        <f>IF(OR(U$5="",'Cost Margin'!$A19="",IF('Cost Margin'!$H19="",'Cost Margin'!$B$8,'Cost Margin'!$H19)="",IF('Cost Margin'!$I19="",'Cost Margin'!$B$9,'Cost Margin'!$I19)=""),0,IF(MIN(IF('Cost Margin'!$I19="",'Cost Margin'!$B$9,'Cost Margin'!$I19),U$6)&lt;MAX(IF('Cost Margin'!$H19="",'Cost Margin'!$B$8,'Cost Margin'!$H19),U$5),0,IFERROR(NETWORKDAYS(MAX(IF('Cost Margin'!$H19="",'Cost Margin'!$B$8,'Cost Margin'!$H19),U$5),MIN(IF('Cost Margin'!$I19="",'Cost Margin'!$B$9,'Cost Margin'!$I19),U$6),INDEX(Settings!$J$7:$M$60,0,MATCH('Cost Margin'!$C19,Settings!$J$6:$M$6,0))),NETWORKDAYS(MAX(IF('Cost Margin'!$H19="",'Cost Margin'!$B$8,'Cost Margin'!$H19),U$5),MIN(IF('Cost Margin'!$I19="",'Cost Margin'!$B$9,'Cost Margin'!$I19),U$6)))))</f>
        <v>0</v>
      </c>
      <c r="V11" s="34">
        <f>IF(OR(V$5="",'Cost Margin'!$A19="",IF('Cost Margin'!$H19="",'Cost Margin'!$B$8,'Cost Margin'!$H19)="",IF('Cost Margin'!$I19="",'Cost Margin'!$B$9,'Cost Margin'!$I19)=""),0,IF(MIN(IF('Cost Margin'!$I19="",'Cost Margin'!$B$9,'Cost Margin'!$I19),V$6)&lt;MAX(IF('Cost Margin'!$H19="",'Cost Margin'!$B$8,'Cost Margin'!$H19),V$5),0,IFERROR(NETWORKDAYS(MAX(IF('Cost Margin'!$H19="",'Cost Margin'!$B$8,'Cost Margin'!$H19),V$5),MIN(IF('Cost Margin'!$I19="",'Cost Margin'!$B$9,'Cost Margin'!$I19),V$6),INDEX(Settings!$J$7:$M$60,0,MATCH('Cost Margin'!$C19,Settings!$J$6:$M$6,0))),NETWORKDAYS(MAX(IF('Cost Margin'!$H19="",'Cost Margin'!$B$8,'Cost Margin'!$H19),V$5),MIN(IF('Cost Margin'!$I19="",'Cost Margin'!$B$9,'Cost Margin'!$I19),V$6)))))</f>
        <v>0</v>
      </c>
      <c r="W11" s="34">
        <f>IF(OR(W$5="",'Cost Margin'!$A19="",IF('Cost Margin'!$H19="",'Cost Margin'!$B$8,'Cost Margin'!$H19)="",IF('Cost Margin'!$I19="",'Cost Margin'!$B$9,'Cost Margin'!$I19)=""),0,IF(MIN(IF('Cost Margin'!$I19="",'Cost Margin'!$B$9,'Cost Margin'!$I19),W$6)&lt;MAX(IF('Cost Margin'!$H19="",'Cost Margin'!$B$8,'Cost Margin'!$H19),W$5),0,IFERROR(NETWORKDAYS(MAX(IF('Cost Margin'!$H19="",'Cost Margin'!$B$8,'Cost Margin'!$H19),W$5),MIN(IF('Cost Margin'!$I19="",'Cost Margin'!$B$9,'Cost Margin'!$I19),W$6),INDEX(Settings!$J$7:$M$60,0,MATCH('Cost Margin'!$C19,Settings!$J$6:$M$6,0))),NETWORKDAYS(MAX(IF('Cost Margin'!$H19="",'Cost Margin'!$B$8,'Cost Margin'!$H19),W$5),MIN(IF('Cost Margin'!$I19="",'Cost Margin'!$B$9,'Cost Margin'!$I19),W$6)))))</f>
        <v>0</v>
      </c>
      <c r="X11" s="34">
        <f>IF(OR(X$5="",'Cost Margin'!$A19="",IF('Cost Margin'!$H19="",'Cost Margin'!$B$8,'Cost Margin'!$H19)="",IF('Cost Margin'!$I19="",'Cost Margin'!$B$9,'Cost Margin'!$I19)=""),0,IF(MIN(IF('Cost Margin'!$I19="",'Cost Margin'!$B$9,'Cost Margin'!$I19),X$6)&lt;MAX(IF('Cost Margin'!$H19="",'Cost Margin'!$B$8,'Cost Margin'!$H19),X$5),0,IFERROR(NETWORKDAYS(MAX(IF('Cost Margin'!$H19="",'Cost Margin'!$B$8,'Cost Margin'!$H19),X$5),MIN(IF('Cost Margin'!$I19="",'Cost Margin'!$B$9,'Cost Margin'!$I19),X$6),INDEX(Settings!$J$7:$M$60,0,MATCH('Cost Margin'!$C19,Settings!$J$6:$M$6,0))),NETWORKDAYS(MAX(IF('Cost Margin'!$H19="",'Cost Margin'!$B$8,'Cost Margin'!$H19),X$5),MIN(IF('Cost Margin'!$I19="",'Cost Margin'!$B$9,'Cost Margin'!$I19),X$6)))))</f>
        <v>0</v>
      </c>
      <c r="Y11" s="34">
        <f>IF(OR(Y$5="",'Cost Margin'!$A19="",IF('Cost Margin'!$H19="",'Cost Margin'!$B$8,'Cost Margin'!$H19)="",IF('Cost Margin'!$I19="",'Cost Margin'!$B$9,'Cost Margin'!$I19)=""),0,IF(MIN(IF('Cost Margin'!$I19="",'Cost Margin'!$B$9,'Cost Margin'!$I19),Y$6)&lt;MAX(IF('Cost Margin'!$H19="",'Cost Margin'!$B$8,'Cost Margin'!$H19),Y$5),0,IFERROR(NETWORKDAYS(MAX(IF('Cost Margin'!$H19="",'Cost Margin'!$B$8,'Cost Margin'!$H19),Y$5),MIN(IF('Cost Margin'!$I19="",'Cost Margin'!$B$9,'Cost Margin'!$I19),Y$6),INDEX(Settings!$J$7:$M$60,0,MATCH('Cost Margin'!$C19,Settings!$J$6:$M$6,0))),NETWORKDAYS(MAX(IF('Cost Margin'!$H19="",'Cost Margin'!$B$8,'Cost Margin'!$H19),Y$5),MIN(IF('Cost Margin'!$I19="",'Cost Margin'!$B$9,'Cost Margin'!$I19),Y$6)))))</f>
        <v>0</v>
      </c>
      <c r="Z11" s="34">
        <f>IF(OR(Z$5="",'Cost Margin'!$A19="",IF('Cost Margin'!$H19="",'Cost Margin'!$B$8,'Cost Margin'!$H19)="",IF('Cost Margin'!$I19="",'Cost Margin'!$B$9,'Cost Margin'!$I19)=""),0,IF(MIN(IF('Cost Margin'!$I19="",'Cost Margin'!$B$9,'Cost Margin'!$I19),Z$6)&lt;MAX(IF('Cost Margin'!$H19="",'Cost Margin'!$B$8,'Cost Margin'!$H19),Z$5),0,IFERROR(NETWORKDAYS(MAX(IF('Cost Margin'!$H19="",'Cost Margin'!$B$8,'Cost Margin'!$H19),Z$5),MIN(IF('Cost Margin'!$I19="",'Cost Margin'!$B$9,'Cost Margin'!$I19),Z$6),INDEX(Settings!$J$7:$M$60,0,MATCH('Cost Margin'!$C19,Settings!$J$6:$M$6,0))),NETWORKDAYS(MAX(IF('Cost Margin'!$H19="",'Cost Margin'!$B$8,'Cost Margin'!$H19),Z$5),MIN(IF('Cost Margin'!$I19="",'Cost Margin'!$B$9,'Cost Margin'!$I19),Z$6)))))</f>
        <v>0</v>
      </c>
    </row>
    <row r="12" spans="1:27" x14ac:dyDescent="0.2">
      <c r="A12">
        <v>4</v>
      </c>
      <c r="B12" s="33" t="str">
        <f>IF('Cost Margin'!A20="","",'Cost Margin'!A20)</f>
        <v/>
      </c>
      <c r="C12" s="34">
        <f>IF(OR(C$5="",'Cost Margin'!$A20="",IF('Cost Margin'!$H20="",'Cost Margin'!$B$8,'Cost Margin'!$H20)="",IF('Cost Margin'!$I20="",'Cost Margin'!$B$9,'Cost Margin'!$I20)=""),0,IF(MIN(IF('Cost Margin'!$I20="",'Cost Margin'!$B$9,'Cost Margin'!$I20),C$6)&lt;MAX(IF('Cost Margin'!$H20="",'Cost Margin'!$B$8,'Cost Margin'!$H20),C$5),0,IFERROR(NETWORKDAYS(MAX(IF('Cost Margin'!$H20="",'Cost Margin'!$B$8,'Cost Margin'!$H20),C$5),MIN(IF('Cost Margin'!$I20="",'Cost Margin'!$B$9,'Cost Margin'!$I20),C$6),INDEX(Settings!$J$7:$M$60,0,MATCH('Cost Margin'!$C20,Settings!$J$6:$M$6,0))),NETWORKDAYS(MAX(IF('Cost Margin'!$H20="",'Cost Margin'!$B$8,'Cost Margin'!$H20),C$5),MIN(IF('Cost Margin'!$I20="",'Cost Margin'!$B$9,'Cost Margin'!$I20),C$6)))))</f>
        <v>0</v>
      </c>
      <c r="D12" s="34">
        <f>IF(OR(D$5="",'Cost Margin'!$A20="",IF('Cost Margin'!$H20="",'Cost Margin'!$B$8,'Cost Margin'!$H20)="",IF('Cost Margin'!$I20="",'Cost Margin'!$B$9,'Cost Margin'!$I20)=""),0,IF(MIN(IF('Cost Margin'!$I20="",'Cost Margin'!$B$9,'Cost Margin'!$I20),D$6)&lt;MAX(IF('Cost Margin'!$H20="",'Cost Margin'!$B$8,'Cost Margin'!$H20),D$5),0,IFERROR(NETWORKDAYS(MAX(IF('Cost Margin'!$H20="",'Cost Margin'!$B$8,'Cost Margin'!$H20),D$5),MIN(IF('Cost Margin'!$I20="",'Cost Margin'!$B$9,'Cost Margin'!$I20),D$6),INDEX(Settings!$J$7:$M$60,0,MATCH('Cost Margin'!$C20,Settings!$J$6:$M$6,0))),NETWORKDAYS(MAX(IF('Cost Margin'!$H20="",'Cost Margin'!$B$8,'Cost Margin'!$H20),D$5),MIN(IF('Cost Margin'!$I20="",'Cost Margin'!$B$9,'Cost Margin'!$I20),D$6)))))</f>
        <v>0</v>
      </c>
      <c r="E12" s="34">
        <f>IF(OR(E$5="",'Cost Margin'!$A20="",IF('Cost Margin'!$H20="",'Cost Margin'!$B$8,'Cost Margin'!$H20)="",IF('Cost Margin'!$I20="",'Cost Margin'!$B$9,'Cost Margin'!$I20)=""),0,IF(MIN(IF('Cost Margin'!$I20="",'Cost Margin'!$B$9,'Cost Margin'!$I20),E$6)&lt;MAX(IF('Cost Margin'!$H20="",'Cost Margin'!$B$8,'Cost Margin'!$H20),E$5),0,IFERROR(NETWORKDAYS(MAX(IF('Cost Margin'!$H20="",'Cost Margin'!$B$8,'Cost Margin'!$H20),E$5),MIN(IF('Cost Margin'!$I20="",'Cost Margin'!$B$9,'Cost Margin'!$I20),E$6),INDEX(Settings!$J$7:$M$60,0,MATCH('Cost Margin'!$C20,Settings!$J$6:$M$6,0))),NETWORKDAYS(MAX(IF('Cost Margin'!$H20="",'Cost Margin'!$B$8,'Cost Margin'!$H20),E$5),MIN(IF('Cost Margin'!$I20="",'Cost Margin'!$B$9,'Cost Margin'!$I20),E$6)))))</f>
        <v>0</v>
      </c>
      <c r="F12" s="34">
        <f>IF(OR(F$5="",'Cost Margin'!$A20="",IF('Cost Margin'!$H20="",'Cost Margin'!$B$8,'Cost Margin'!$H20)="",IF('Cost Margin'!$I20="",'Cost Margin'!$B$9,'Cost Margin'!$I20)=""),0,IF(MIN(IF('Cost Margin'!$I20="",'Cost Margin'!$B$9,'Cost Margin'!$I20),F$6)&lt;MAX(IF('Cost Margin'!$H20="",'Cost Margin'!$B$8,'Cost Margin'!$H20),F$5),0,IFERROR(NETWORKDAYS(MAX(IF('Cost Margin'!$H20="",'Cost Margin'!$B$8,'Cost Margin'!$H20),F$5),MIN(IF('Cost Margin'!$I20="",'Cost Margin'!$B$9,'Cost Margin'!$I20),F$6),INDEX(Settings!$J$7:$M$60,0,MATCH('Cost Margin'!$C20,Settings!$J$6:$M$6,0))),NETWORKDAYS(MAX(IF('Cost Margin'!$H20="",'Cost Margin'!$B$8,'Cost Margin'!$H20),F$5),MIN(IF('Cost Margin'!$I20="",'Cost Margin'!$B$9,'Cost Margin'!$I20),F$6)))))</f>
        <v>0</v>
      </c>
      <c r="G12" s="34">
        <f>IF(OR(G$5="",'Cost Margin'!$A20="",IF('Cost Margin'!$H20="",'Cost Margin'!$B$8,'Cost Margin'!$H20)="",IF('Cost Margin'!$I20="",'Cost Margin'!$B$9,'Cost Margin'!$I20)=""),0,IF(MIN(IF('Cost Margin'!$I20="",'Cost Margin'!$B$9,'Cost Margin'!$I20),G$6)&lt;MAX(IF('Cost Margin'!$H20="",'Cost Margin'!$B$8,'Cost Margin'!$H20),G$5),0,IFERROR(NETWORKDAYS(MAX(IF('Cost Margin'!$H20="",'Cost Margin'!$B$8,'Cost Margin'!$H20),G$5),MIN(IF('Cost Margin'!$I20="",'Cost Margin'!$B$9,'Cost Margin'!$I20),G$6),INDEX(Settings!$J$7:$M$60,0,MATCH('Cost Margin'!$C20,Settings!$J$6:$M$6,0))),NETWORKDAYS(MAX(IF('Cost Margin'!$H20="",'Cost Margin'!$B$8,'Cost Margin'!$H20),G$5),MIN(IF('Cost Margin'!$I20="",'Cost Margin'!$B$9,'Cost Margin'!$I20),G$6)))))</f>
        <v>0</v>
      </c>
      <c r="H12" s="34">
        <f>IF(OR(H$5="",'Cost Margin'!$A20="",IF('Cost Margin'!$H20="",'Cost Margin'!$B$8,'Cost Margin'!$H20)="",IF('Cost Margin'!$I20="",'Cost Margin'!$B$9,'Cost Margin'!$I20)=""),0,IF(MIN(IF('Cost Margin'!$I20="",'Cost Margin'!$B$9,'Cost Margin'!$I20),H$6)&lt;MAX(IF('Cost Margin'!$H20="",'Cost Margin'!$B$8,'Cost Margin'!$H20),H$5),0,IFERROR(NETWORKDAYS(MAX(IF('Cost Margin'!$H20="",'Cost Margin'!$B$8,'Cost Margin'!$H20),H$5),MIN(IF('Cost Margin'!$I20="",'Cost Margin'!$B$9,'Cost Margin'!$I20),H$6),INDEX(Settings!$J$7:$M$60,0,MATCH('Cost Margin'!$C20,Settings!$J$6:$M$6,0))),NETWORKDAYS(MAX(IF('Cost Margin'!$H20="",'Cost Margin'!$B$8,'Cost Margin'!$H20),H$5),MIN(IF('Cost Margin'!$I20="",'Cost Margin'!$B$9,'Cost Margin'!$I20),H$6)))))</f>
        <v>0</v>
      </c>
      <c r="I12" s="34">
        <f>IF(OR(I$5="",'Cost Margin'!$A20="",IF('Cost Margin'!$H20="",'Cost Margin'!$B$8,'Cost Margin'!$H20)="",IF('Cost Margin'!$I20="",'Cost Margin'!$B$9,'Cost Margin'!$I20)=""),0,IF(MIN(IF('Cost Margin'!$I20="",'Cost Margin'!$B$9,'Cost Margin'!$I20),I$6)&lt;MAX(IF('Cost Margin'!$H20="",'Cost Margin'!$B$8,'Cost Margin'!$H20),I$5),0,IFERROR(NETWORKDAYS(MAX(IF('Cost Margin'!$H20="",'Cost Margin'!$B$8,'Cost Margin'!$H20),I$5),MIN(IF('Cost Margin'!$I20="",'Cost Margin'!$B$9,'Cost Margin'!$I20),I$6),INDEX(Settings!$J$7:$M$60,0,MATCH('Cost Margin'!$C20,Settings!$J$6:$M$6,0))),NETWORKDAYS(MAX(IF('Cost Margin'!$H20="",'Cost Margin'!$B$8,'Cost Margin'!$H20),I$5),MIN(IF('Cost Margin'!$I20="",'Cost Margin'!$B$9,'Cost Margin'!$I20),I$6)))))</f>
        <v>0</v>
      </c>
      <c r="J12" s="34">
        <f>IF(OR(J$5="",'Cost Margin'!$A20="",IF('Cost Margin'!$H20="",'Cost Margin'!$B$8,'Cost Margin'!$H20)="",IF('Cost Margin'!$I20="",'Cost Margin'!$B$9,'Cost Margin'!$I20)=""),0,IF(MIN(IF('Cost Margin'!$I20="",'Cost Margin'!$B$9,'Cost Margin'!$I20),J$6)&lt;MAX(IF('Cost Margin'!$H20="",'Cost Margin'!$B$8,'Cost Margin'!$H20),J$5),0,IFERROR(NETWORKDAYS(MAX(IF('Cost Margin'!$H20="",'Cost Margin'!$B$8,'Cost Margin'!$H20),J$5),MIN(IF('Cost Margin'!$I20="",'Cost Margin'!$B$9,'Cost Margin'!$I20),J$6),INDEX(Settings!$J$7:$M$60,0,MATCH('Cost Margin'!$C20,Settings!$J$6:$M$6,0))),NETWORKDAYS(MAX(IF('Cost Margin'!$H20="",'Cost Margin'!$B$8,'Cost Margin'!$H20),J$5),MIN(IF('Cost Margin'!$I20="",'Cost Margin'!$B$9,'Cost Margin'!$I20),J$6)))))</f>
        <v>0</v>
      </c>
      <c r="K12" s="34">
        <f>IF(OR(K$5="",'Cost Margin'!$A20="",IF('Cost Margin'!$H20="",'Cost Margin'!$B$8,'Cost Margin'!$H20)="",IF('Cost Margin'!$I20="",'Cost Margin'!$B$9,'Cost Margin'!$I20)=""),0,IF(MIN(IF('Cost Margin'!$I20="",'Cost Margin'!$B$9,'Cost Margin'!$I20),K$6)&lt;MAX(IF('Cost Margin'!$H20="",'Cost Margin'!$B$8,'Cost Margin'!$H20),K$5),0,IFERROR(NETWORKDAYS(MAX(IF('Cost Margin'!$H20="",'Cost Margin'!$B$8,'Cost Margin'!$H20),K$5),MIN(IF('Cost Margin'!$I20="",'Cost Margin'!$B$9,'Cost Margin'!$I20),K$6),INDEX(Settings!$J$7:$M$60,0,MATCH('Cost Margin'!$C20,Settings!$J$6:$M$6,0))),NETWORKDAYS(MAX(IF('Cost Margin'!$H20="",'Cost Margin'!$B$8,'Cost Margin'!$H20),K$5),MIN(IF('Cost Margin'!$I20="",'Cost Margin'!$B$9,'Cost Margin'!$I20),K$6)))))</f>
        <v>0</v>
      </c>
      <c r="L12" s="34">
        <f>IF(OR(L$5="",'Cost Margin'!$A20="",IF('Cost Margin'!$H20="",'Cost Margin'!$B$8,'Cost Margin'!$H20)="",IF('Cost Margin'!$I20="",'Cost Margin'!$B$9,'Cost Margin'!$I20)=""),0,IF(MIN(IF('Cost Margin'!$I20="",'Cost Margin'!$B$9,'Cost Margin'!$I20),L$6)&lt;MAX(IF('Cost Margin'!$H20="",'Cost Margin'!$B$8,'Cost Margin'!$H20),L$5),0,IFERROR(NETWORKDAYS(MAX(IF('Cost Margin'!$H20="",'Cost Margin'!$B$8,'Cost Margin'!$H20),L$5),MIN(IF('Cost Margin'!$I20="",'Cost Margin'!$B$9,'Cost Margin'!$I20),L$6),INDEX(Settings!$J$7:$M$60,0,MATCH('Cost Margin'!$C20,Settings!$J$6:$M$6,0))),NETWORKDAYS(MAX(IF('Cost Margin'!$H20="",'Cost Margin'!$B$8,'Cost Margin'!$H20),L$5),MIN(IF('Cost Margin'!$I20="",'Cost Margin'!$B$9,'Cost Margin'!$I20),L$6)))))</f>
        <v>0</v>
      </c>
      <c r="M12" s="34">
        <f>IF(OR(M$5="",'Cost Margin'!$A20="",IF('Cost Margin'!$H20="",'Cost Margin'!$B$8,'Cost Margin'!$H20)="",IF('Cost Margin'!$I20="",'Cost Margin'!$B$9,'Cost Margin'!$I20)=""),0,IF(MIN(IF('Cost Margin'!$I20="",'Cost Margin'!$B$9,'Cost Margin'!$I20),M$6)&lt;MAX(IF('Cost Margin'!$H20="",'Cost Margin'!$B$8,'Cost Margin'!$H20),M$5),0,IFERROR(NETWORKDAYS(MAX(IF('Cost Margin'!$H20="",'Cost Margin'!$B$8,'Cost Margin'!$H20),M$5),MIN(IF('Cost Margin'!$I20="",'Cost Margin'!$B$9,'Cost Margin'!$I20),M$6),INDEX(Settings!$J$7:$M$60,0,MATCH('Cost Margin'!$C20,Settings!$J$6:$M$6,0))),NETWORKDAYS(MAX(IF('Cost Margin'!$H20="",'Cost Margin'!$B$8,'Cost Margin'!$H20),M$5),MIN(IF('Cost Margin'!$I20="",'Cost Margin'!$B$9,'Cost Margin'!$I20),M$6)))))</f>
        <v>0</v>
      </c>
      <c r="N12" s="34">
        <f>IF(OR(N$5="",'Cost Margin'!$A20="",IF('Cost Margin'!$H20="",'Cost Margin'!$B$8,'Cost Margin'!$H20)="",IF('Cost Margin'!$I20="",'Cost Margin'!$B$9,'Cost Margin'!$I20)=""),0,IF(MIN(IF('Cost Margin'!$I20="",'Cost Margin'!$B$9,'Cost Margin'!$I20),N$6)&lt;MAX(IF('Cost Margin'!$H20="",'Cost Margin'!$B$8,'Cost Margin'!$H20),N$5),0,IFERROR(NETWORKDAYS(MAX(IF('Cost Margin'!$H20="",'Cost Margin'!$B$8,'Cost Margin'!$H20),N$5),MIN(IF('Cost Margin'!$I20="",'Cost Margin'!$B$9,'Cost Margin'!$I20),N$6),INDEX(Settings!$J$7:$M$60,0,MATCH('Cost Margin'!$C20,Settings!$J$6:$M$6,0))),NETWORKDAYS(MAX(IF('Cost Margin'!$H20="",'Cost Margin'!$B$8,'Cost Margin'!$H20),N$5),MIN(IF('Cost Margin'!$I20="",'Cost Margin'!$B$9,'Cost Margin'!$I20),N$6)))))</f>
        <v>0</v>
      </c>
      <c r="O12" s="34">
        <f>IF(OR(O$5="",'Cost Margin'!$A20="",IF('Cost Margin'!$H20="",'Cost Margin'!$B$8,'Cost Margin'!$H20)="",IF('Cost Margin'!$I20="",'Cost Margin'!$B$9,'Cost Margin'!$I20)=""),0,IF(MIN(IF('Cost Margin'!$I20="",'Cost Margin'!$B$9,'Cost Margin'!$I20),O$6)&lt;MAX(IF('Cost Margin'!$H20="",'Cost Margin'!$B$8,'Cost Margin'!$H20),O$5),0,IFERROR(NETWORKDAYS(MAX(IF('Cost Margin'!$H20="",'Cost Margin'!$B$8,'Cost Margin'!$H20),O$5),MIN(IF('Cost Margin'!$I20="",'Cost Margin'!$B$9,'Cost Margin'!$I20),O$6),INDEX(Settings!$J$7:$M$60,0,MATCH('Cost Margin'!$C20,Settings!$J$6:$M$6,0))),NETWORKDAYS(MAX(IF('Cost Margin'!$H20="",'Cost Margin'!$B$8,'Cost Margin'!$H20),O$5),MIN(IF('Cost Margin'!$I20="",'Cost Margin'!$B$9,'Cost Margin'!$I20),O$6)))))</f>
        <v>0</v>
      </c>
      <c r="P12" s="34">
        <f>IF(OR(P$5="",'Cost Margin'!$A20="",IF('Cost Margin'!$H20="",'Cost Margin'!$B$8,'Cost Margin'!$H20)="",IF('Cost Margin'!$I20="",'Cost Margin'!$B$9,'Cost Margin'!$I20)=""),0,IF(MIN(IF('Cost Margin'!$I20="",'Cost Margin'!$B$9,'Cost Margin'!$I20),P$6)&lt;MAX(IF('Cost Margin'!$H20="",'Cost Margin'!$B$8,'Cost Margin'!$H20),P$5),0,IFERROR(NETWORKDAYS(MAX(IF('Cost Margin'!$H20="",'Cost Margin'!$B$8,'Cost Margin'!$H20),P$5),MIN(IF('Cost Margin'!$I20="",'Cost Margin'!$B$9,'Cost Margin'!$I20),P$6),INDEX(Settings!$J$7:$M$60,0,MATCH('Cost Margin'!$C20,Settings!$J$6:$M$6,0))),NETWORKDAYS(MAX(IF('Cost Margin'!$H20="",'Cost Margin'!$B$8,'Cost Margin'!$H20),P$5),MIN(IF('Cost Margin'!$I20="",'Cost Margin'!$B$9,'Cost Margin'!$I20),P$6)))))</f>
        <v>0</v>
      </c>
      <c r="Q12" s="34">
        <f>IF(OR(Q$5="",'Cost Margin'!$A20="",IF('Cost Margin'!$H20="",'Cost Margin'!$B$8,'Cost Margin'!$H20)="",IF('Cost Margin'!$I20="",'Cost Margin'!$B$9,'Cost Margin'!$I20)=""),0,IF(MIN(IF('Cost Margin'!$I20="",'Cost Margin'!$B$9,'Cost Margin'!$I20),Q$6)&lt;MAX(IF('Cost Margin'!$H20="",'Cost Margin'!$B$8,'Cost Margin'!$H20),Q$5),0,IFERROR(NETWORKDAYS(MAX(IF('Cost Margin'!$H20="",'Cost Margin'!$B$8,'Cost Margin'!$H20),Q$5),MIN(IF('Cost Margin'!$I20="",'Cost Margin'!$B$9,'Cost Margin'!$I20),Q$6),INDEX(Settings!$J$7:$M$60,0,MATCH('Cost Margin'!$C20,Settings!$J$6:$M$6,0))),NETWORKDAYS(MAX(IF('Cost Margin'!$H20="",'Cost Margin'!$B$8,'Cost Margin'!$H20),Q$5),MIN(IF('Cost Margin'!$I20="",'Cost Margin'!$B$9,'Cost Margin'!$I20),Q$6)))))</f>
        <v>0</v>
      </c>
      <c r="R12" s="34">
        <f>IF(OR(R$5="",'Cost Margin'!$A20="",IF('Cost Margin'!$H20="",'Cost Margin'!$B$8,'Cost Margin'!$H20)="",IF('Cost Margin'!$I20="",'Cost Margin'!$B$9,'Cost Margin'!$I20)=""),0,IF(MIN(IF('Cost Margin'!$I20="",'Cost Margin'!$B$9,'Cost Margin'!$I20),R$6)&lt;MAX(IF('Cost Margin'!$H20="",'Cost Margin'!$B$8,'Cost Margin'!$H20),R$5),0,IFERROR(NETWORKDAYS(MAX(IF('Cost Margin'!$H20="",'Cost Margin'!$B$8,'Cost Margin'!$H20),R$5),MIN(IF('Cost Margin'!$I20="",'Cost Margin'!$B$9,'Cost Margin'!$I20),R$6),INDEX(Settings!$J$7:$M$60,0,MATCH('Cost Margin'!$C20,Settings!$J$6:$M$6,0))),NETWORKDAYS(MAX(IF('Cost Margin'!$H20="",'Cost Margin'!$B$8,'Cost Margin'!$H20),R$5),MIN(IF('Cost Margin'!$I20="",'Cost Margin'!$B$9,'Cost Margin'!$I20),R$6)))))</f>
        <v>0</v>
      </c>
      <c r="S12" s="34">
        <f>IF(OR(S$5="",'Cost Margin'!$A20="",IF('Cost Margin'!$H20="",'Cost Margin'!$B$8,'Cost Margin'!$H20)="",IF('Cost Margin'!$I20="",'Cost Margin'!$B$9,'Cost Margin'!$I20)=""),0,IF(MIN(IF('Cost Margin'!$I20="",'Cost Margin'!$B$9,'Cost Margin'!$I20),S$6)&lt;MAX(IF('Cost Margin'!$H20="",'Cost Margin'!$B$8,'Cost Margin'!$H20),S$5),0,IFERROR(NETWORKDAYS(MAX(IF('Cost Margin'!$H20="",'Cost Margin'!$B$8,'Cost Margin'!$H20),S$5),MIN(IF('Cost Margin'!$I20="",'Cost Margin'!$B$9,'Cost Margin'!$I20),S$6),INDEX(Settings!$J$7:$M$60,0,MATCH('Cost Margin'!$C20,Settings!$J$6:$M$6,0))),NETWORKDAYS(MAX(IF('Cost Margin'!$H20="",'Cost Margin'!$B$8,'Cost Margin'!$H20),S$5),MIN(IF('Cost Margin'!$I20="",'Cost Margin'!$B$9,'Cost Margin'!$I20),S$6)))))</f>
        <v>0</v>
      </c>
      <c r="T12" s="34">
        <f>IF(OR(T$5="",'Cost Margin'!$A20="",IF('Cost Margin'!$H20="",'Cost Margin'!$B$8,'Cost Margin'!$H20)="",IF('Cost Margin'!$I20="",'Cost Margin'!$B$9,'Cost Margin'!$I20)=""),0,IF(MIN(IF('Cost Margin'!$I20="",'Cost Margin'!$B$9,'Cost Margin'!$I20),T$6)&lt;MAX(IF('Cost Margin'!$H20="",'Cost Margin'!$B$8,'Cost Margin'!$H20),T$5),0,IFERROR(NETWORKDAYS(MAX(IF('Cost Margin'!$H20="",'Cost Margin'!$B$8,'Cost Margin'!$H20),T$5),MIN(IF('Cost Margin'!$I20="",'Cost Margin'!$B$9,'Cost Margin'!$I20),T$6),INDEX(Settings!$J$7:$M$60,0,MATCH('Cost Margin'!$C20,Settings!$J$6:$M$6,0))),NETWORKDAYS(MAX(IF('Cost Margin'!$H20="",'Cost Margin'!$B$8,'Cost Margin'!$H20),T$5),MIN(IF('Cost Margin'!$I20="",'Cost Margin'!$B$9,'Cost Margin'!$I20),T$6)))))</f>
        <v>0</v>
      </c>
      <c r="U12" s="34">
        <f>IF(OR(U$5="",'Cost Margin'!$A20="",IF('Cost Margin'!$H20="",'Cost Margin'!$B$8,'Cost Margin'!$H20)="",IF('Cost Margin'!$I20="",'Cost Margin'!$B$9,'Cost Margin'!$I20)=""),0,IF(MIN(IF('Cost Margin'!$I20="",'Cost Margin'!$B$9,'Cost Margin'!$I20),U$6)&lt;MAX(IF('Cost Margin'!$H20="",'Cost Margin'!$B$8,'Cost Margin'!$H20),U$5),0,IFERROR(NETWORKDAYS(MAX(IF('Cost Margin'!$H20="",'Cost Margin'!$B$8,'Cost Margin'!$H20),U$5),MIN(IF('Cost Margin'!$I20="",'Cost Margin'!$B$9,'Cost Margin'!$I20),U$6),INDEX(Settings!$J$7:$M$60,0,MATCH('Cost Margin'!$C20,Settings!$J$6:$M$6,0))),NETWORKDAYS(MAX(IF('Cost Margin'!$H20="",'Cost Margin'!$B$8,'Cost Margin'!$H20),U$5),MIN(IF('Cost Margin'!$I20="",'Cost Margin'!$B$9,'Cost Margin'!$I20),U$6)))))</f>
        <v>0</v>
      </c>
      <c r="V12" s="34">
        <f>IF(OR(V$5="",'Cost Margin'!$A20="",IF('Cost Margin'!$H20="",'Cost Margin'!$B$8,'Cost Margin'!$H20)="",IF('Cost Margin'!$I20="",'Cost Margin'!$B$9,'Cost Margin'!$I20)=""),0,IF(MIN(IF('Cost Margin'!$I20="",'Cost Margin'!$B$9,'Cost Margin'!$I20),V$6)&lt;MAX(IF('Cost Margin'!$H20="",'Cost Margin'!$B$8,'Cost Margin'!$H20),V$5),0,IFERROR(NETWORKDAYS(MAX(IF('Cost Margin'!$H20="",'Cost Margin'!$B$8,'Cost Margin'!$H20),V$5),MIN(IF('Cost Margin'!$I20="",'Cost Margin'!$B$9,'Cost Margin'!$I20),V$6),INDEX(Settings!$J$7:$M$60,0,MATCH('Cost Margin'!$C20,Settings!$J$6:$M$6,0))),NETWORKDAYS(MAX(IF('Cost Margin'!$H20="",'Cost Margin'!$B$8,'Cost Margin'!$H20),V$5),MIN(IF('Cost Margin'!$I20="",'Cost Margin'!$B$9,'Cost Margin'!$I20),V$6)))))</f>
        <v>0</v>
      </c>
      <c r="W12" s="34">
        <f>IF(OR(W$5="",'Cost Margin'!$A20="",IF('Cost Margin'!$H20="",'Cost Margin'!$B$8,'Cost Margin'!$H20)="",IF('Cost Margin'!$I20="",'Cost Margin'!$B$9,'Cost Margin'!$I20)=""),0,IF(MIN(IF('Cost Margin'!$I20="",'Cost Margin'!$B$9,'Cost Margin'!$I20),W$6)&lt;MAX(IF('Cost Margin'!$H20="",'Cost Margin'!$B$8,'Cost Margin'!$H20),W$5),0,IFERROR(NETWORKDAYS(MAX(IF('Cost Margin'!$H20="",'Cost Margin'!$B$8,'Cost Margin'!$H20),W$5),MIN(IF('Cost Margin'!$I20="",'Cost Margin'!$B$9,'Cost Margin'!$I20),W$6),INDEX(Settings!$J$7:$M$60,0,MATCH('Cost Margin'!$C20,Settings!$J$6:$M$6,0))),NETWORKDAYS(MAX(IF('Cost Margin'!$H20="",'Cost Margin'!$B$8,'Cost Margin'!$H20),W$5),MIN(IF('Cost Margin'!$I20="",'Cost Margin'!$B$9,'Cost Margin'!$I20),W$6)))))</f>
        <v>0</v>
      </c>
      <c r="X12" s="34">
        <f>IF(OR(X$5="",'Cost Margin'!$A20="",IF('Cost Margin'!$H20="",'Cost Margin'!$B$8,'Cost Margin'!$H20)="",IF('Cost Margin'!$I20="",'Cost Margin'!$B$9,'Cost Margin'!$I20)=""),0,IF(MIN(IF('Cost Margin'!$I20="",'Cost Margin'!$B$9,'Cost Margin'!$I20),X$6)&lt;MAX(IF('Cost Margin'!$H20="",'Cost Margin'!$B$8,'Cost Margin'!$H20),X$5),0,IFERROR(NETWORKDAYS(MAX(IF('Cost Margin'!$H20="",'Cost Margin'!$B$8,'Cost Margin'!$H20),X$5),MIN(IF('Cost Margin'!$I20="",'Cost Margin'!$B$9,'Cost Margin'!$I20),X$6),INDEX(Settings!$J$7:$M$60,0,MATCH('Cost Margin'!$C20,Settings!$J$6:$M$6,0))),NETWORKDAYS(MAX(IF('Cost Margin'!$H20="",'Cost Margin'!$B$8,'Cost Margin'!$H20),X$5),MIN(IF('Cost Margin'!$I20="",'Cost Margin'!$B$9,'Cost Margin'!$I20),X$6)))))</f>
        <v>0</v>
      </c>
      <c r="Y12" s="34">
        <f>IF(OR(Y$5="",'Cost Margin'!$A20="",IF('Cost Margin'!$H20="",'Cost Margin'!$B$8,'Cost Margin'!$H20)="",IF('Cost Margin'!$I20="",'Cost Margin'!$B$9,'Cost Margin'!$I20)=""),0,IF(MIN(IF('Cost Margin'!$I20="",'Cost Margin'!$B$9,'Cost Margin'!$I20),Y$6)&lt;MAX(IF('Cost Margin'!$H20="",'Cost Margin'!$B$8,'Cost Margin'!$H20),Y$5),0,IFERROR(NETWORKDAYS(MAX(IF('Cost Margin'!$H20="",'Cost Margin'!$B$8,'Cost Margin'!$H20),Y$5),MIN(IF('Cost Margin'!$I20="",'Cost Margin'!$B$9,'Cost Margin'!$I20),Y$6),INDEX(Settings!$J$7:$M$60,0,MATCH('Cost Margin'!$C20,Settings!$J$6:$M$6,0))),NETWORKDAYS(MAX(IF('Cost Margin'!$H20="",'Cost Margin'!$B$8,'Cost Margin'!$H20),Y$5),MIN(IF('Cost Margin'!$I20="",'Cost Margin'!$B$9,'Cost Margin'!$I20),Y$6)))))</f>
        <v>0</v>
      </c>
      <c r="Z12" s="34">
        <f>IF(OR(Z$5="",'Cost Margin'!$A20="",IF('Cost Margin'!$H20="",'Cost Margin'!$B$8,'Cost Margin'!$H20)="",IF('Cost Margin'!$I20="",'Cost Margin'!$B$9,'Cost Margin'!$I20)=""),0,IF(MIN(IF('Cost Margin'!$I20="",'Cost Margin'!$B$9,'Cost Margin'!$I20),Z$6)&lt;MAX(IF('Cost Margin'!$H20="",'Cost Margin'!$B$8,'Cost Margin'!$H20),Z$5),0,IFERROR(NETWORKDAYS(MAX(IF('Cost Margin'!$H20="",'Cost Margin'!$B$8,'Cost Margin'!$H20),Z$5),MIN(IF('Cost Margin'!$I20="",'Cost Margin'!$B$9,'Cost Margin'!$I20),Z$6),INDEX(Settings!$J$7:$M$60,0,MATCH('Cost Margin'!$C20,Settings!$J$6:$M$6,0))),NETWORKDAYS(MAX(IF('Cost Margin'!$H20="",'Cost Margin'!$B$8,'Cost Margin'!$H20),Z$5),MIN(IF('Cost Margin'!$I20="",'Cost Margin'!$B$9,'Cost Margin'!$I20),Z$6)))))</f>
        <v>0</v>
      </c>
    </row>
    <row r="13" spans="1:27" x14ac:dyDescent="0.2">
      <c r="A13">
        <v>5</v>
      </c>
      <c r="B13" s="33" t="str">
        <f>IF('Cost Margin'!A21="","",'Cost Margin'!A21)</f>
        <v/>
      </c>
      <c r="C13" s="34">
        <f>IF(OR(C$5="",'Cost Margin'!$A21="",IF('Cost Margin'!$H21="",'Cost Margin'!$B$8,'Cost Margin'!$H21)="",IF('Cost Margin'!$I21="",'Cost Margin'!$B$9,'Cost Margin'!$I21)=""),0,IF(MIN(IF('Cost Margin'!$I21="",'Cost Margin'!$B$9,'Cost Margin'!$I21),C$6)&lt;MAX(IF('Cost Margin'!$H21="",'Cost Margin'!$B$8,'Cost Margin'!$H21),C$5),0,IFERROR(NETWORKDAYS(MAX(IF('Cost Margin'!$H21="",'Cost Margin'!$B$8,'Cost Margin'!$H21),C$5),MIN(IF('Cost Margin'!$I21="",'Cost Margin'!$B$9,'Cost Margin'!$I21),C$6),INDEX(Settings!$J$7:$M$60,0,MATCH('Cost Margin'!$C21,Settings!$J$6:$M$6,0))),NETWORKDAYS(MAX(IF('Cost Margin'!$H21="",'Cost Margin'!$B$8,'Cost Margin'!$H21),C$5),MIN(IF('Cost Margin'!$I21="",'Cost Margin'!$B$9,'Cost Margin'!$I21),C$6)))))</f>
        <v>0</v>
      </c>
      <c r="D13" s="34">
        <f>IF(OR(D$5="",'Cost Margin'!$A21="",IF('Cost Margin'!$H21="",'Cost Margin'!$B$8,'Cost Margin'!$H21)="",IF('Cost Margin'!$I21="",'Cost Margin'!$B$9,'Cost Margin'!$I21)=""),0,IF(MIN(IF('Cost Margin'!$I21="",'Cost Margin'!$B$9,'Cost Margin'!$I21),D$6)&lt;MAX(IF('Cost Margin'!$H21="",'Cost Margin'!$B$8,'Cost Margin'!$H21),D$5),0,IFERROR(NETWORKDAYS(MAX(IF('Cost Margin'!$H21="",'Cost Margin'!$B$8,'Cost Margin'!$H21),D$5),MIN(IF('Cost Margin'!$I21="",'Cost Margin'!$B$9,'Cost Margin'!$I21),D$6),INDEX(Settings!$J$7:$M$60,0,MATCH('Cost Margin'!$C21,Settings!$J$6:$M$6,0))),NETWORKDAYS(MAX(IF('Cost Margin'!$H21="",'Cost Margin'!$B$8,'Cost Margin'!$H21),D$5),MIN(IF('Cost Margin'!$I21="",'Cost Margin'!$B$9,'Cost Margin'!$I21),D$6)))))</f>
        <v>0</v>
      </c>
      <c r="E13" s="34">
        <f>IF(OR(E$5="",'Cost Margin'!$A21="",IF('Cost Margin'!$H21="",'Cost Margin'!$B$8,'Cost Margin'!$H21)="",IF('Cost Margin'!$I21="",'Cost Margin'!$B$9,'Cost Margin'!$I21)=""),0,IF(MIN(IF('Cost Margin'!$I21="",'Cost Margin'!$B$9,'Cost Margin'!$I21),E$6)&lt;MAX(IF('Cost Margin'!$H21="",'Cost Margin'!$B$8,'Cost Margin'!$H21),E$5),0,IFERROR(NETWORKDAYS(MAX(IF('Cost Margin'!$H21="",'Cost Margin'!$B$8,'Cost Margin'!$H21),E$5),MIN(IF('Cost Margin'!$I21="",'Cost Margin'!$B$9,'Cost Margin'!$I21),E$6),INDEX(Settings!$J$7:$M$60,0,MATCH('Cost Margin'!$C21,Settings!$J$6:$M$6,0))),NETWORKDAYS(MAX(IF('Cost Margin'!$H21="",'Cost Margin'!$B$8,'Cost Margin'!$H21),E$5),MIN(IF('Cost Margin'!$I21="",'Cost Margin'!$B$9,'Cost Margin'!$I21),E$6)))))</f>
        <v>0</v>
      </c>
      <c r="F13" s="34">
        <f>IF(OR(F$5="",'Cost Margin'!$A21="",IF('Cost Margin'!$H21="",'Cost Margin'!$B$8,'Cost Margin'!$H21)="",IF('Cost Margin'!$I21="",'Cost Margin'!$B$9,'Cost Margin'!$I21)=""),0,IF(MIN(IF('Cost Margin'!$I21="",'Cost Margin'!$B$9,'Cost Margin'!$I21),F$6)&lt;MAX(IF('Cost Margin'!$H21="",'Cost Margin'!$B$8,'Cost Margin'!$H21),F$5),0,IFERROR(NETWORKDAYS(MAX(IF('Cost Margin'!$H21="",'Cost Margin'!$B$8,'Cost Margin'!$H21),F$5),MIN(IF('Cost Margin'!$I21="",'Cost Margin'!$B$9,'Cost Margin'!$I21),F$6),INDEX(Settings!$J$7:$M$60,0,MATCH('Cost Margin'!$C21,Settings!$J$6:$M$6,0))),NETWORKDAYS(MAX(IF('Cost Margin'!$H21="",'Cost Margin'!$B$8,'Cost Margin'!$H21),F$5),MIN(IF('Cost Margin'!$I21="",'Cost Margin'!$B$9,'Cost Margin'!$I21),F$6)))))</f>
        <v>0</v>
      </c>
      <c r="G13" s="34">
        <f>IF(OR(G$5="",'Cost Margin'!$A21="",IF('Cost Margin'!$H21="",'Cost Margin'!$B$8,'Cost Margin'!$H21)="",IF('Cost Margin'!$I21="",'Cost Margin'!$B$9,'Cost Margin'!$I21)=""),0,IF(MIN(IF('Cost Margin'!$I21="",'Cost Margin'!$B$9,'Cost Margin'!$I21),G$6)&lt;MAX(IF('Cost Margin'!$H21="",'Cost Margin'!$B$8,'Cost Margin'!$H21),G$5),0,IFERROR(NETWORKDAYS(MAX(IF('Cost Margin'!$H21="",'Cost Margin'!$B$8,'Cost Margin'!$H21),G$5),MIN(IF('Cost Margin'!$I21="",'Cost Margin'!$B$9,'Cost Margin'!$I21),G$6),INDEX(Settings!$J$7:$M$60,0,MATCH('Cost Margin'!$C21,Settings!$J$6:$M$6,0))),NETWORKDAYS(MAX(IF('Cost Margin'!$H21="",'Cost Margin'!$B$8,'Cost Margin'!$H21),G$5),MIN(IF('Cost Margin'!$I21="",'Cost Margin'!$B$9,'Cost Margin'!$I21),G$6)))))</f>
        <v>0</v>
      </c>
      <c r="H13" s="34">
        <f>IF(OR(H$5="",'Cost Margin'!$A21="",IF('Cost Margin'!$H21="",'Cost Margin'!$B$8,'Cost Margin'!$H21)="",IF('Cost Margin'!$I21="",'Cost Margin'!$B$9,'Cost Margin'!$I21)=""),0,IF(MIN(IF('Cost Margin'!$I21="",'Cost Margin'!$B$9,'Cost Margin'!$I21),H$6)&lt;MAX(IF('Cost Margin'!$H21="",'Cost Margin'!$B$8,'Cost Margin'!$H21),H$5),0,IFERROR(NETWORKDAYS(MAX(IF('Cost Margin'!$H21="",'Cost Margin'!$B$8,'Cost Margin'!$H21),H$5),MIN(IF('Cost Margin'!$I21="",'Cost Margin'!$B$9,'Cost Margin'!$I21),H$6),INDEX(Settings!$J$7:$M$60,0,MATCH('Cost Margin'!$C21,Settings!$J$6:$M$6,0))),NETWORKDAYS(MAX(IF('Cost Margin'!$H21="",'Cost Margin'!$B$8,'Cost Margin'!$H21),H$5),MIN(IF('Cost Margin'!$I21="",'Cost Margin'!$B$9,'Cost Margin'!$I21),H$6)))))</f>
        <v>0</v>
      </c>
      <c r="I13" s="34">
        <f>IF(OR(I$5="",'Cost Margin'!$A21="",IF('Cost Margin'!$H21="",'Cost Margin'!$B$8,'Cost Margin'!$H21)="",IF('Cost Margin'!$I21="",'Cost Margin'!$B$9,'Cost Margin'!$I21)=""),0,IF(MIN(IF('Cost Margin'!$I21="",'Cost Margin'!$B$9,'Cost Margin'!$I21),I$6)&lt;MAX(IF('Cost Margin'!$H21="",'Cost Margin'!$B$8,'Cost Margin'!$H21),I$5),0,IFERROR(NETWORKDAYS(MAX(IF('Cost Margin'!$H21="",'Cost Margin'!$B$8,'Cost Margin'!$H21),I$5),MIN(IF('Cost Margin'!$I21="",'Cost Margin'!$B$9,'Cost Margin'!$I21),I$6),INDEX(Settings!$J$7:$M$60,0,MATCH('Cost Margin'!$C21,Settings!$J$6:$M$6,0))),NETWORKDAYS(MAX(IF('Cost Margin'!$H21="",'Cost Margin'!$B$8,'Cost Margin'!$H21),I$5),MIN(IF('Cost Margin'!$I21="",'Cost Margin'!$B$9,'Cost Margin'!$I21),I$6)))))</f>
        <v>0</v>
      </c>
      <c r="J13" s="34">
        <f>IF(OR(J$5="",'Cost Margin'!$A21="",IF('Cost Margin'!$H21="",'Cost Margin'!$B$8,'Cost Margin'!$H21)="",IF('Cost Margin'!$I21="",'Cost Margin'!$B$9,'Cost Margin'!$I21)=""),0,IF(MIN(IF('Cost Margin'!$I21="",'Cost Margin'!$B$9,'Cost Margin'!$I21),J$6)&lt;MAX(IF('Cost Margin'!$H21="",'Cost Margin'!$B$8,'Cost Margin'!$H21),J$5),0,IFERROR(NETWORKDAYS(MAX(IF('Cost Margin'!$H21="",'Cost Margin'!$B$8,'Cost Margin'!$H21),J$5),MIN(IF('Cost Margin'!$I21="",'Cost Margin'!$B$9,'Cost Margin'!$I21),J$6),INDEX(Settings!$J$7:$M$60,0,MATCH('Cost Margin'!$C21,Settings!$J$6:$M$6,0))),NETWORKDAYS(MAX(IF('Cost Margin'!$H21="",'Cost Margin'!$B$8,'Cost Margin'!$H21),J$5),MIN(IF('Cost Margin'!$I21="",'Cost Margin'!$B$9,'Cost Margin'!$I21),J$6)))))</f>
        <v>0</v>
      </c>
      <c r="K13" s="34">
        <f>IF(OR(K$5="",'Cost Margin'!$A21="",IF('Cost Margin'!$H21="",'Cost Margin'!$B$8,'Cost Margin'!$H21)="",IF('Cost Margin'!$I21="",'Cost Margin'!$B$9,'Cost Margin'!$I21)=""),0,IF(MIN(IF('Cost Margin'!$I21="",'Cost Margin'!$B$9,'Cost Margin'!$I21),K$6)&lt;MAX(IF('Cost Margin'!$H21="",'Cost Margin'!$B$8,'Cost Margin'!$H21),K$5),0,IFERROR(NETWORKDAYS(MAX(IF('Cost Margin'!$H21="",'Cost Margin'!$B$8,'Cost Margin'!$H21),K$5),MIN(IF('Cost Margin'!$I21="",'Cost Margin'!$B$9,'Cost Margin'!$I21),K$6),INDEX(Settings!$J$7:$M$60,0,MATCH('Cost Margin'!$C21,Settings!$J$6:$M$6,0))),NETWORKDAYS(MAX(IF('Cost Margin'!$H21="",'Cost Margin'!$B$8,'Cost Margin'!$H21),K$5),MIN(IF('Cost Margin'!$I21="",'Cost Margin'!$B$9,'Cost Margin'!$I21),K$6)))))</f>
        <v>0</v>
      </c>
      <c r="L13" s="34">
        <f>IF(OR(L$5="",'Cost Margin'!$A21="",IF('Cost Margin'!$H21="",'Cost Margin'!$B$8,'Cost Margin'!$H21)="",IF('Cost Margin'!$I21="",'Cost Margin'!$B$9,'Cost Margin'!$I21)=""),0,IF(MIN(IF('Cost Margin'!$I21="",'Cost Margin'!$B$9,'Cost Margin'!$I21),L$6)&lt;MAX(IF('Cost Margin'!$H21="",'Cost Margin'!$B$8,'Cost Margin'!$H21),L$5),0,IFERROR(NETWORKDAYS(MAX(IF('Cost Margin'!$H21="",'Cost Margin'!$B$8,'Cost Margin'!$H21),L$5),MIN(IF('Cost Margin'!$I21="",'Cost Margin'!$B$9,'Cost Margin'!$I21),L$6),INDEX(Settings!$J$7:$M$60,0,MATCH('Cost Margin'!$C21,Settings!$J$6:$M$6,0))),NETWORKDAYS(MAX(IF('Cost Margin'!$H21="",'Cost Margin'!$B$8,'Cost Margin'!$H21),L$5),MIN(IF('Cost Margin'!$I21="",'Cost Margin'!$B$9,'Cost Margin'!$I21),L$6)))))</f>
        <v>0</v>
      </c>
      <c r="M13" s="34">
        <f>IF(OR(M$5="",'Cost Margin'!$A21="",IF('Cost Margin'!$H21="",'Cost Margin'!$B$8,'Cost Margin'!$H21)="",IF('Cost Margin'!$I21="",'Cost Margin'!$B$9,'Cost Margin'!$I21)=""),0,IF(MIN(IF('Cost Margin'!$I21="",'Cost Margin'!$B$9,'Cost Margin'!$I21),M$6)&lt;MAX(IF('Cost Margin'!$H21="",'Cost Margin'!$B$8,'Cost Margin'!$H21),M$5),0,IFERROR(NETWORKDAYS(MAX(IF('Cost Margin'!$H21="",'Cost Margin'!$B$8,'Cost Margin'!$H21),M$5),MIN(IF('Cost Margin'!$I21="",'Cost Margin'!$B$9,'Cost Margin'!$I21),M$6),INDEX(Settings!$J$7:$M$60,0,MATCH('Cost Margin'!$C21,Settings!$J$6:$M$6,0))),NETWORKDAYS(MAX(IF('Cost Margin'!$H21="",'Cost Margin'!$B$8,'Cost Margin'!$H21),M$5),MIN(IF('Cost Margin'!$I21="",'Cost Margin'!$B$9,'Cost Margin'!$I21),M$6)))))</f>
        <v>0</v>
      </c>
      <c r="N13" s="34">
        <f>IF(OR(N$5="",'Cost Margin'!$A21="",IF('Cost Margin'!$H21="",'Cost Margin'!$B$8,'Cost Margin'!$H21)="",IF('Cost Margin'!$I21="",'Cost Margin'!$B$9,'Cost Margin'!$I21)=""),0,IF(MIN(IF('Cost Margin'!$I21="",'Cost Margin'!$B$9,'Cost Margin'!$I21),N$6)&lt;MAX(IF('Cost Margin'!$H21="",'Cost Margin'!$B$8,'Cost Margin'!$H21),N$5),0,IFERROR(NETWORKDAYS(MAX(IF('Cost Margin'!$H21="",'Cost Margin'!$B$8,'Cost Margin'!$H21),N$5),MIN(IF('Cost Margin'!$I21="",'Cost Margin'!$B$9,'Cost Margin'!$I21),N$6),INDEX(Settings!$J$7:$M$60,0,MATCH('Cost Margin'!$C21,Settings!$J$6:$M$6,0))),NETWORKDAYS(MAX(IF('Cost Margin'!$H21="",'Cost Margin'!$B$8,'Cost Margin'!$H21),N$5),MIN(IF('Cost Margin'!$I21="",'Cost Margin'!$B$9,'Cost Margin'!$I21),N$6)))))</f>
        <v>0</v>
      </c>
      <c r="O13" s="34">
        <f>IF(OR(O$5="",'Cost Margin'!$A21="",IF('Cost Margin'!$H21="",'Cost Margin'!$B$8,'Cost Margin'!$H21)="",IF('Cost Margin'!$I21="",'Cost Margin'!$B$9,'Cost Margin'!$I21)=""),0,IF(MIN(IF('Cost Margin'!$I21="",'Cost Margin'!$B$9,'Cost Margin'!$I21),O$6)&lt;MAX(IF('Cost Margin'!$H21="",'Cost Margin'!$B$8,'Cost Margin'!$H21),O$5),0,IFERROR(NETWORKDAYS(MAX(IF('Cost Margin'!$H21="",'Cost Margin'!$B$8,'Cost Margin'!$H21),O$5),MIN(IF('Cost Margin'!$I21="",'Cost Margin'!$B$9,'Cost Margin'!$I21),O$6),INDEX(Settings!$J$7:$M$60,0,MATCH('Cost Margin'!$C21,Settings!$J$6:$M$6,0))),NETWORKDAYS(MAX(IF('Cost Margin'!$H21="",'Cost Margin'!$B$8,'Cost Margin'!$H21),O$5),MIN(IF('Cost Margin'!$I21="",'Cost Margin'!$B$9,'Cost Margin'!$I21),O$6)))))</f>
        <v>0</v>
      </c>
      <c r="P13" s="34">
        <f>IF(OR(P$5="",'Cost Margin'!$A21="",IF('Cost Margin'!$H21="",'Cost Margin'!$B$8,'Cost Margin'!$H21)="",IF('Cost Margin'!$I21="",'Cost Margin'!$B$9,'Cost Margin'!$I21)=""),0,IF(MIN(IF('Cost Margin'!$I21="",'Cost Margin'!$B$9,'Cost Margin'!$I21),P$6)&lt;MAX(IF('Cost Margin'!$H21="",'Cost Margin'!$B$8,'Cost Margin'!$H21),P$5),0,IFERROR(NETWORKDAYS(MAX(IF('Cost Margin'!$H21="",'Cost Margin'!$B$8,'Cost Margin'!$H21),P$5),MIN(IF('Cost Margin'!$I21="",'Cost Margin'!$B$9,'Cost Margin'!$I21),P$6),INDEX(Settings!$J$7:$M$60,0,MATCH('Cost Margin'!$C21,Settings!$J$6:$M$6,0))),NETWORKDAYS(MAX(IF('Cost Margin'!$H21="",'Cost Margin'!$B$8,'Cost Margin'!$H21),P$5),MIN(IF('Cost Margin'!$I21="",'Cost Margin'!$B$9,'Cost Margin'!$I21),P$6)))))</f>
        <v>0</v>
      </c>
      <c r="Q13" s="34">
        <f>IF(OR(Q$5="",'Cost Margin'!$A21="",IF('Cost Margin'!$H21="",'Cost Margin'!$B$8,'Cost Margin'!$H21)="",IF('Cost Margin'!$I21="",'Cost Margin'!$B$9,'Cost Margin'!$I21)=""),0,IF(MIN(IF('Cost Margin'!$I21="",'Cost Margin'!$B$9,'Cost Margin'!$I21),Q$6)&lt;MAX(IF('Cost Margin'!$H21="",'Cost Margin'!$B$8,'Cost Margin'!$H21),Q$5),0,IFERROR(NETWORKDAYS(MAX(IF('Cost Margin'!$H21="",'Cost Margin'!$B$8,'Cost Margin'!$H21),Q$5),MIN(IF('Cost Margin'!$I21="",'Cost Margin'!$B$9,'Cost Margin'!$I21),Q$6),INDEX(Settings!$J$7:$M$60,0,MATCH('Cost Margin'!$C21,Settings!$J$6:$M$6,0))),NETWORKDAYS(MAX(IF('Cost Margin'!$H21="",'Cost Margin'!$B$8,'Cost Margin'!$H21),Q$5),MIN(IF('Cost Margin'!$I21="",'Cost Margin'!$B$9,'Cost Margin'!$I21),Q$6)))))</f>
        <v>0</v>
      </c>
      <c r="R13" s="34">
        <f>IF(OR(R$5="",'Cost Margin'!$A21="",IF('Cost Margin'!$H21="",'Cost Margin'!$B$8,'Cost Margin'!$H21)="",IF('Cost Margin'!$I21="",'Cost Margin'!$B$9,'Cost Margin'!$I21)=""),0,IF(MIN(IF('Cost Margin'!$I21="",'Cost Margin'!$B$9,'Cost Margin'!$I21),R$6)&lt;MAX(IF('Cost Margin'!$H21="",'Cost Margin'!$B$8,'Cost Margin'!$H21),R$5),0,IFERROR(NETWORKDAYS(MAX(IF('Cost Margin'!$H21="",'Cost Margin'!$B$8,'Cost Margin'!$H21),R$5),MIN(IF('Cost Margin'!$I21="",'Cost Margin'!$B$9,'Cost Margin'!$I21),R$6),INDEX(Settings!$J$7:$M$60,0,MATCH('Cost Margin'!$C21,Settings!$J$6:$M$6,0))),NETWORKDAYS(MAX(IF('Cost Margin'!$H21="",'Cost Margin'!$B$8,'Cost Margin'!$H21),R$5),MIN(IF('Cost Margin'!$I21="",'Cost Margin'!$B$9,'Cost Margin'!$I21),R$6)))))</f>
        <v>0</v>
      </c>
      <c r="S13" s="34">
        <f>IF(OR(S$5="",'Cost Margin'!$A21="",IF('Cost Margin'!$H21="",'Cost Margin'!$B$8,'Cost Margin'!$H21)="",IF('Cost Margin'!$I21="",'Cost Margin'!$B$9,'Cost Margin'!$I21)=""),0,IF(MIN(IF('Cost Margin'!$I21="",'Cost Margin'!$B$9,'Cost Margin'!$I21),S$6)&lt;MAX(IF('Cost Margin'!$H21="",'Cost Margin'!$B$8,'Cost Margin'!$H21),S$5),0,IFERROR(NETWORKDAYS(MAX(IF('Cost Margin'!$H21="",'Cost Margin'!$B$8,'Cost Margin'!$H21),S$5),MIN(IF('Cost Margin'!$I21="",'Cost Margin'!$B$9,'Cost Margin'!$I21),S$6),INDEX(Settings!$J$7:$M$60,0,MATCH('Cost Margin'!$C21,Settings!$J$6:$M$6,0))),NETWORKDAYS(MAX(IF('Cost Margin'!$H21="",'Cost Margin'!$B$8,'Cost Margin'!$H21),S$5),MIN(IF('Cost Margin'!$I21="",'Cost Margin'!$B$9,'Cost Margin'!$I21),S$6)))))</f>
        <v>0</v>
      </c>
      <c r="T13" s="34">
        <f>IF(OR(T$5="",'Cost Margin'!$A21="",IF('Cost Margin'!$H21="",'Cost Margin'!$B$8,'Cost Margin'!$H21)="",IF('Cost Margin'!$I21="",'Cost Margin'!$B$9,'Cost Margin'!$I21)=""),0,IF(MIN(IF('Cost Margin'!$I21="",'Cost Margin'!$B$9,'Cost Margin'!$I21),T$6)&lt;MAX(IF('Cost Margin'!$H21="",'Cost Margin'!$B$8,'Cost Margin'!$H21),T$5),0,IFERROR(NETWORKDAYS(MAX(IF('Cost Margin'!$H21="",'Cost Margin'!$B$8,'Cost Margin'!$H21),T$5),MIN(IF('Cost Margin'!$I21="",'Cost Margin'!$B$9,'Cost Margin'!$I21),T$6),INDEX(Settings!$J$7:$M$60,0,MATCH('Cost Margin'!$C21,Settings!$J$6:$M$6,0))),NETWORKDAYS(MAX(IF('Cost Margin'!$H21="",'Cost Margin'!$B$8,'Cost Margin'!$H21),T$5),MIN(IF('Cost Margin'!$I21="",'Cost Margin'!$B$9,'Cost Margin'!$I21),T$6)))))</f>
        <v>0</v>
      </c>
      <c r="U13" s="34">
        <f>IF(OR(U$5="",'Cost Margin'!$A21="",IF('Cost Margin'!$H21="",'Cost Margin'!$B$8,'Cost Margin'!$H21)="",IF('Cost Margin'!$I21="",'Cost Margin'!$B$9,'Cost Margin'!$I21)=""),0,IF(MIN(IF('Cost Margin'!$I21="",'Cost Margin'!$B$9,'Cost Margin'!$I21),U$6)&lt;MAX(IF('Cost Margin'!$H21="",'Cost Margin'!$B$8,'Cost Margin'!$H21),U$5),0,IFERROR(NETWORKDAYS(MAX(IF('Cost Margin'!$H21="",'Cost Margin'!$B$8,'Cost Margin'!$H21),U$5),MIN(IF('Cost Margin'!$I21="",'Cost Margin'!$B$9,'Cost Margin'!$I21),U$6),INDEX(Settings!$J$7:$M$60,0,MATCH('Cost Margin'!$C21,Settings!$J$6:$M$6,0))),NETWORKDAYS(MAX(IF('Cost Margin'!$H21="",'Cost Margin'!$B$8,'Cost Margin'!$H21),U$5),MIN(IF('Cost Margin'!$I21="",'Cost Margin'!$B$9,'Cost Margin'!$I21),U$6)))))</f>
        <v>0</v>
      </c>
      <c r="V13" s="34">
        <f>IF(OR(V$5="",'Cost Margin'!$A21="",IF('Cost Margin'!$H21="",'Cost Margin'!$B$8,'Cost Margin'!$H21)="",IF('Cost Margin'!$I21="",'Cost Margin'!$B$9,'Cost Margin'!$I21)=""),0,IF(MIN(IF('Cost Margin'!$I21="",'Cost Margin'!$B$9,'Cost Margin'!$I21),V$6)&lt;MAX(IF('Cost Margin'!$H21="",'Cost Margin'!$B$8,'Cost Margin'!$H21),V$5),0,IFERROR(NETWORKDAYS(MAX(IF('Cost Margin'!$H21="",'Cost Margin'!$B$8,'Cost Margin'!$H21),V$5),MIN(IF('Cost Margin'!$I21="",'Cost Margin'!$B$9,'Cost Margin'!$I21),V$6),INDEX(Settings!$J$7:$M$60,0,MATCH('Cost Margin'!$C21,Settings!$J$6:$M$6,0))),NETWORKDAYS(MAX(IF('Cost Margin'!$H21="",'Cost Margin'!$B$8,'Cost Margin'!$H21),V$5),MIN(IF('Cost Margin'!$I21="",'Cost Margin'!$B$9,'Cost Margin'!$I21),V$6)))))</f>
        <v>0</v>
      </c>
      <c r="W13" s="34">
        <f>IF(OR(W$5="",'Cost Margin'!$A21="",IF('Cost Margin'!$H21="",'Cost Margin'!$B$8,'Cost Margin'!$H21)="",IF('Cost Margin'!$I21="",'Cost Margin'!$B$9,'Cost Margin'!$I21)=""),0,IF(MIN(IF('Cost Margin'!$I21="",'Cost Margin'!$B$9,'Cost Margin'!$I21),W$6)&lt;MAX(IF('Cost Margin'!$H21="",'Cost Margin'!$B$8,'Cost Margin'!$H21),W$5),0,IFERROR(NETWORKDAYS(MAX(IF('Cost Margin'!$H21="",'Cost Margin'!$B$8,'Cost Margin'!$H21),W$5),MIN(IF('Cost Margin'!$I21="",'Cost Margin'!$B$9,'Cost Margin'!$I21),W$6),INDEX(Settings!$J$7:$M$60,0,MATCH('Cost Margin'!$C21,Settings!$J$6:$M$6,0))),NETWORKDAYS(MAX(IF('Cost Margin'!$H21="",'Cost Margin'!$B$8,'Cost Margin'!$H21),W$5),MIN(IF('Cost Margin'!$I21="",'Cost Margin'!$B$9,'Cost Margin'!$I21),W$6)))))</f>
        <v>0</v>
      </c>
      <c r="X13" s="34">
        <f>IF(OR(X$5="",'Cost Margin'!$A21="",IF('Cost Margin'!$H21="",'Cost Margin'!$B$8,'Cost Margin'!$H21)="",IF('Cost Margin'!$I21="",'Cost Margin'!$B$9,'Cost Margin'!$I21)=""),0,IF(MIN(IF('Cost Margin'!$I21="",'Cost Margin'!$B$9,'Cost Margin'!$I21),X$6)&lt;MAX(IF('Cost Margin'!$H21="",'Cost Margin'!$B$8,'Cost Margin'!$H21),X$5),0,IFERROR(NETWORKDAYS(MAX(IF('Cost Margin'!$H21="",'Cost Margin'!$B$8,'Cost Margin'!$H21),X$5),MIN(IF('Cost Margin'!$I21="",'Cost Margin'!$B$9,'Cost Margin'!$I21),X$6),INDEX(Settings!$J$7:$M$60,0,MATCH('Cost Margin'!$C21,Settings!$J$6:$M$6,0))),NETWORKDAYS(MAX(IF('Cost Margin'!$H21="",'Cost Margin'!$B$8,'Cost Margin'!$H21),X$5),MIN(IF('Cost Margin'!$I21="",'Cost Margin'!$B$9,'Cost Margin'!$I21),X$6)))))</f>
        <v>0</v>
      </c>
      <c r="Y13" s="34">
        <f>IF(OR(Y$5="",'Cost Margin'!$A21="",IF('Cost Margin'!$H21="",'Cost Margin'!$B$8,'Cost Margin'!$H21)="",IF('Cost Margin'!$I21="",'Cost Margin'!$B$9,'Cost Margin'!$I21)=""),0,IF(MIN(IF('Cost Margin'!$I21="",'Cost Margin'!$B$9,'Cost Margin'!$I21),Y$6)&lt;MAX(IF('Cost Margin'!$H21="",'Cost Margin'!$B$8,'Cost Margin'!$H21),Y$5),0,IFERROR(NETWORKDAYS(MAX(IF('Cost Margin'!$H21="",'Cost Margin'!$B$8,'Cost Margin'!$H21),Y$5),MIN(IF('Cost Margin'!$I21="",'Cost Margin'!$B$9,'Cost Margin'!$I21),Y$6),INDEX(Settings!$J$7:$M$60,0,MATCH('Cost Margin'!$C21,Settings!$J$6:$M$6,0))),NETWORKDAYS(MAX(IF('Cost Margin'!$H21="",'Cost Margin'!$B$8,'Cost Margin'!$H21),Y$5),MIN(IF('Cost Margin'!$I21="",'Cost Margin'!$B$9,'Cost Margin'!$I21),Y$6)))))</f>
        <v>0</v>
      </c>
      <c r="Z13" s="34">
        <f>IF(OR(Z$5="",'Cost Margin'!$A21="",IF('Cost Margin'!$H21="",'Cost Margin'!$B$8,'Cost Margin'!$H21)="",IF('Cost Margin'!$I21="",'Cost Margin'!$B$9,'Cost Margin'!$I21)=""),0,IF(MIN(IF('Cost Margin'!$I21="",'Cost Margin'!$B$9,'Cost Margin'!$I21),Z$6)&lt;MAX(IF('Cost Margin'!$H21="",'Cost Margin'!$B$8,'Cost Margin'!$H21),Z$5),0,IFERROR(NETWORKDAYS(MAX(IF('Cost Margin'!$H21="",'Cost Margin'!$B$8,'Cost Margin'!$H21),Z$5),MIN(IF('Cost Margin'!$I21="",'Cost Margin'!$B$9,'Cost Margin'!$I21),Z$6),INDEX(Settings!$J$7:$M$60,0,MATCH('Cost Margin'!$C21,Settings!$J$6:$M$6,0))),NETWORKDAYS(MAX(IF('Cost Margin'!$H21="",'Cost Margin'!$B$8,'Cost Margin'!$H21),Z$5),MIN(IF('Cost Margin'!$I21="",'Cost Margin'!$B$9,'Cost Margin'!$I21),Z$6)))))</f>
        <v>0</v>
      </c>
    </row>
    <row r="14" spans="1:27" x14ac:dyDescent="0.2">
      <c r="A14">
        <v>6</v>
      </c>
      <c r="B14" s="33" t="str">
        <f>IF('Cost Margin'!A22="","",'Cost Margin'!A22)</f>
        <v/>
      </c>
      <c r="C14" s="34">
        <f>IF(OR(C$5="",'Cost Margin'!$A22="",IF('Cost Margin'!$H22="",'Cost Margin'!$B$8,'Cost Margin'!$H22)="",IF('Cost Margin'!$I22="",'Cost Margin'!$B$9,'Cost Margin'!$I22)=""),0,IF(MIN(IF('Cost Margin'!$I22="",'Cost Margin'!$B$9,'Cost Margin'!$I22),C$6)&lt;MAX(IF('Cost Margin'!$H22="",'Cost Margin'!$B$8,'Cost Margin'!$H22),C$5),0,IFERROR(NETWORKDAYS(MAX(IF('Cost Margin'!$H22="",'Cost Margin'!$B$8,'Cost Margin'!$H22),C$5),MIN(IF('Cost Margin'!$I22="",'Cost Margin'!$B$9,'Cost Margin'!$I22),C$6),INDEX(Settings!$J$7:$M$60,0,MATCH('Cost Margin'!$C22,Settings!$J$6:$M$6,0))),NETWORKDAYS(MAX(IF('Cost Margin'!$H22="",'Cost Margin'!$B$8,'Cost Margin'!$H22),C$5),MIN(IF('Cost Margin'!$I22="",'Cost Margin'!$B$9,'Cost Margin'!$I22),C$6)))))</f>
        <v>0</v>
      </c>
      <c r="D14" s="34">
        <f>IF(OR(D$5="",'Cost Margin'!$A22="",IF('Cost Margin'!$H22="",'Cost Margin'!$B$8,'Cost Margin'!$H22)="",IF('Cost Margin'!$I22="",'Cost Margin'!$B$9,'Cost Margin'!$I22)=""),0,IF(MIN(IF('Cost Margin'!$I22="",'Cost Margin'!$B$9,'Cost Margin'!$I22),D$6)&lt;MAX(IF('Cost Margin'!$H22="",'Cost Margin'!$B$8,'Cost Margin'!$H22),D$5),0,IFERROR(NETWORKDAYS(MAX(IF('Cost Margin'!$H22="",'Cost Margin'!$B$8,'Cost Margin'!$H22),D$5),MIN(IF('Cost Margin'!$I22="",'Cost Margin'!$B$9,'Cost Margin'!$I22),D$6),INDEX(Settings!$J$7:$M$60,0,MATCH('Cost Margin'!$C22,Settings!$J$6:$M$6,0))),NETWORKDAYS(MAX(IF('Cost Margin'!$H22="",'Cost Margin'!$B$8,'Cost Margin'!$H22),D$5),MIN(IF('Cost Margin'!$I22="",'Cost Margin'!$B$9,'Cost Margin'!$I22),D$6)))))</f>
        <v>0</v>
      </c>
      <c r="E14" s="34">
        <f>IF(OR(E$5="",'Cost Margin'!$A22="",IF('Cost Margin'!$H22="",'Cost Margin'!$B$8,'Cost Margin'!$H22)="",IF('Cost Margin'!$I22="",'Cost Margin'!$B$9,'Cost Margin'!$I22)=""),0,IF(MIN(IF('Cost Margin'!$I22="",'Cost Margin'!$B$9,'Cost Margin'!$I22),E$6)&lt;MAX(IF('Cost Margin'!$H22="",'Cost Margin'!$B$8,'Cost Margin'!$H22),E$5),0,IFERROR(NETWORKDAYS(MAX(IF('Cost Margin'!$H22="",'Cost Margin'!$B$8,'Cost Margin'!$H22),E$5),MIN(IF('Cost Margin'!$I22="",'Cost Margin'!$B$9,'Cost Margin'!$I22),E$6),INDEX(Settings!$J$7:$M$60,0,MATCH('Cost Margin'!$C22,Settings!$J$6:$M$6,0))),NETWORKDAYS(MAX(IF('Cost Margin'!$H22="",'Cost Margin'!$B$8,'Cost Margin'!$H22),E$5),MIN(IF('Cost Margin'!$I22="",'Cost Margin'!$B$9,'Cost Margin'!$I22),E$6)))))</f>
        <v>0</v>
      </c>
      <c r="F14" s="34">
        <f>IF(OR(F$5="",'Cost Margin'!$A22="",IF('Cost Margin'!$H22="",'Cost Margin'!$B$8,'Cost Margin'!$H22)="",IF('Cost Margin'!$I22="",'Cost Margin'!$B$9,'Cost Margin'!$I22)=""),0,IF(MIN(IF('Cost Margin'!$I22="",'Cost Margin'!$B$9,'Cost Margin'!$I22),F$6)&lt;MAX(IF('Cost Margin'!$H22="",'Cost Margin'!$B$8,'Cost Margin'!$H22),F$5),0,IFERROR(NETWORKDAYS(MAX(IF('Cost Margin'!$H22="",'Cost Margin'!$B$8,'Cost Margin'!$H22),F$5),MIN(IF('Cost Margin'!$I22="",'Cost Margin'!$B$9,'Cost Margin'!$I22),F$6),INDEX(Settings!$J$7:$M$60,0,MATCH('Cost Margin'!$C22,Settings!$J$6:$M$6,0))),NETWORKDAYS(MAX(IF('Cost Margin'!$H22="",'Cost Margin'!$B$8,'Cost Margin'!$H22),F$5),MIN(IF('Cost Margin'!$I22="",'Cost Margin'!$B$9,'Cost Margin'!$I22),F$6)))))</f>
        <v>0</v>
      </c>
      <c r="G14" s="34">
        <f>IF(OR(G$5="",'Cost Margin'!$A22="",IF('Cost Margin'!$H22="",'Cost Margin'!$B$8,'Cost Margin'!$H22)="",IF('Cost Margin'!$I22="",'Cost Margin'!$B$9,'Cost Margin'!$I22)=""),0,IF(MIN(IF('Cost Margin'!$I22="",'Cost Margin'!$B$9,'Cost Margin'!$I22),G$6)&lt;MAX(IF('Cost Margin'!$H22="",'Cost Margin'!$B$8,'Cost Margin'!$H22),G$5),0,IFERROR(NETWORKDAYS(MAX(IF('Cost Margin'!$H22="",'Cost Margin'!$B$8,'Cost Margin'!$H22),G$5),MIN(IF('Cost Margin'!$I22="",'Cost Margin'!$B$9,'Cost Margin'!$I22),G$6),INDEX(Settings!$J$7:$M$60,0,MATCH('Cost Margin'!$C22,Settings!$J$6:$M$6,0))),NETWORKDAYS(MAX(IF('Cost Margin'!$H22="",'Cost Margin'!$B$8,'Cost Margin'!$H22),G$5),MIN(IF('Cost Margin'!$I22="",'Cost Margin'!$B$9,'Cost Margin'!$I22),G$6)))))</f>
        <v>0</v>
      </c>
      <c r="H14" s="34">
        <f>IF(OR(H$5="",'Cost Margin'!$A22="",IF('Cost Margin'!$H22="",'Cost Margin'!$B$8,'Cost Margin'!$H22)="",IF('Cost Margin'!$I22="",'Cost Margin'!$B$9,'Cost Margin'!$I22)=""),0,IF(MIN(IF('Cost Margin'!$I22="",'Cost Margin'!$B$9,'Cost Margin'!$I22),H$6)&lt;MAX(IF('Cost Margin'!$H22="",'Cost Margin'!$B$8,'Cost Margin'!$H22),H$5),0,IFERROR(NETWORKDAYS(MAX(IF('Cost Margin'!$H22="",'Cost Margin'!$B$8,'Cost Margin'!$H22),H$5),MIN(IF('Cost Margin'!$I22="",'Cost Margin'!$B$9,'Cost Margin'!$I22),H$6),INDEX(Settings!$J$7:$M$60,0,MATCH('Cost Margin'!$C22,Settings!$J$6:$M$6,0))),NETWORKDAYS(MAX(IF('Cost Margin'!$H22="",'Cost Margin'!$B$8,'Cost Margin'!$H22),H$5),MIN(IF('Cost Margin'!$I22="",'Cost Margin'!$B$9,'Cost Margin'!$I22),H$6)))))</f>
        <v>0</v>
      </c>
      <c r="I14" s="34">
        <f>IF(OR(I$5="",'Cost Margin'!$A22="",IF('Cost Margin'!$H22="",'Cost Margin'!$B$8,'Cost Margin'!$H22)="",IF('Cost Margin'!$I22="",'Cost Margin'!$B$9,'Cost Margin'!$I22)=""),0,IF(MIN(IF('Cost Margin'!$I22="",'Cost Margin'!$B$9,'Cost Margin'!$I22),I$6)&lt;MAX(IF('Cost Margin'!$H22="",'Cost Margin'!$B$8,'Cost Margin'!$H22),I$5),0,IFERROR(NETWORKDAYS(MAX(IF('Cost Margin'!$H22="",'Cost Margin'!$B$8,'Cost Margin'!$H22),I$5),MIN(IF('Cost Margin'!$I22="",'Cost Margin'!$B$9,'Cost Margin'!$I22),I$6),INDEX(Settings!$J$7:$M$60,0,MATCH('Cost Margin'!$C22,Settings!$J$6:$M$6,0))),NETWORKDAYS(MAX(IF('Cost Margin'!$H22="",'Cost Margin'!$B$8,'Cost Margin'!$H22),I$5),MIN(IF('Cost Margin'!$I22="",'Cost Margin'!$B$9,'Cost Margin'!$I22),I$6)))))</f>
        <v>0</v>
      </c>
      <c r="J14" s="34">
        <f>IF(OR(J$5="",'Cost Margin'!$A22="",IF('Cost Margin'!$H22="",'Cost Margin'!$B$8,'Cost Margin'!$H22)="",IF('Cost Margin'!$I22="",'Cost Margin'!$B$9,'Cost Margin'!$I22)=""),0,IF(MIN(IF('Cost Margin'!$I22="",'Cost Margin'!$B$9,'Cost Margin'!$I22),J$6)&lt;MAX(IF('Cost Margin'!$H22="",'Cost Margin'!$B$8,'Cost Margin'!$H22),J$5),0,IFERROR(NETWORKDAYS(MAX(IF('Cost Margin'!$H22="",'Cost Margin'!$B$8,'Cost Margin'!$H22),J$5),MIN(IF('Cost Margin'!$I22="",'Cost Margin'!$B$9,'Cost Margin'!$I22),J$6),INDEX(Settings!$J$7:$M$60,0,MATCH('Cost Margin'!$C22,Settings!$J$6:$M$6,0))),NETWORKDAYS(MAX(IF('Cost Margin'!$H22="",'Cost Margin'!$B$8,'Cost Margin'!$H22),J$5),MIN(IF('Cost Margin'!$I22="",'Cost Margin'!$B$9,'Cost Margin'!$I22),J$6)))))</f>
        <v>0</v>
      </c>
      <c r="K14" s="34">
        <f>IF(OR(K$5="",'Cost Margin'!$A22="",IF('Cost Margin'!$H22="",'Cost Margin'!$B$8,'Cost Margin'!$H22)="",IF('Cost Margin'!$I22="",'Cost Margin'!$B$9,'Cost Margin'!$I22)=""),0,IF(MIN(IF('Cost Margin'!$I22="",'Cost Margin'!$B$9,'Cost Margin'!$I22),K$6)&lt;MAX(IF('Cost Margin'!$H22="",'Cost Margin'!$B$8,'Cost Margin'!$H22),K$5),0,IFERROR(NETWORKDAYS(MAX(IF('Cost Margin'!$H22="",'Cost Margin'!$B$8,'Cost Margin'!$H22),K$5),MIN(IF('Cost Margin'!$I22="",'Cost Margin'!$B$9,'Cost Margin'!$I22),K$6),INDEX(Settings!$J$7:$M$60,0,MATCH('Cost Margin'!$C22,Settings!$J$6:$M$6,0))),NETWORKDAYS(MAX(IF('Cost Margin'!$H22="",'Cost Margin'!$B$8,'Cost Margin'!$H22),K$5),MIN(IF('Cost Margin'!$I22="",'Cost Margin'!$B$9,'Cost Margin'!$I22),K$6)))))</f>
        <v>0</v>
      </c>
      <c r="L14" s="34">
        <f>IF(OR(L$5="",'Cost Margin'!$A22="",IF('Cost Margin'!$H22="",'Cost Margin'!$B$8,'Cost Margin'!$H22)="",IF('Cost Margin'!$I22="",'Cost Margin'!$B$9,'Cost Margin'!$I22)=""),0,IF(MIN(IF('Cost Margin'!$I22="",'Cost Margin'!$B$9,'Cost Margin'!$I22),L$6)&lt;MAX(IF('Cost Margin'!$H22="",'Cost Margin'!$B$8,'Cost Margin'!$H22),L$5),0,IFERROR(NETWORKDAYS(MAX(IF('Cost Margin'!$H22="",'Cost Margin'!$B$8,'Cost Margin'!$H22),L$5),MIN(IF('Cost Margin'!$I22="",'Cost Margin'!$B$9,'Cost Margin'!$I22),L$6),INDEX(Settings!$J$7:$M$60,0,MATCH('Cost Margin'!$C22,Settings!$J$6:$M$6,0))),NETWORKDAYS(MAX(IF('Cost Margin'!$H22="",'Cost Margin'!$B$8,'Cost Margin'!$H22),L$5),MIN(IF('Cost Margin'!$I22="",'Cost Margin'!$B$9,'Cost Margin'!$I22),L$6)))))</f>
        <v>0</v>
      </c>
      <c r="M14" s="34">
        <f>IF(OR(M$5="",'Cost Margin'!$A22="",IF('Cost Margin'!$H22="",'Cost Margin'!$B$8,'Cost Margin'!$H22)="",IF('Cost Margin'!$I22="",'Cost Margin'!$B$9,'Cost Margin'!$I22)=""),0,IF(MIN(IF('Cost Margin'!$I22="",'Cost Margin'!$B$9,'Cost Margin'!$I22),M$6)&lt;MAX(IF('Cost Margin'!$H22="",'Cost Margin'!$B$8,'Cost Margin'!$H22),M$5),0,IFERROR(NETWORKDAYS(MAX(IF('Cost Margin'!$H22="",'Cost Margin'!$B$8,'Cost Margin'!$H22),M$5),MIN(IF('Cost Margin'!$I22="",'Cost Margin'!$B$9,'Cost Margin'!$I22),M$6),INDEX(Settings!$J$7:$M$60,0,MATCH('Cost Margin'!$C22,Settings!$J$6:$M$6,0))),NETWORKDAYS(MAX(IF('Cost Margin'!$H22="",'Cost Margin'!$B$8,'Cost Margin'!$H22),M$5),MIN(IF('Cost Margin'!$I22="",'Cost Margin'!$B$9,'Cost Margin'!$I22),M$6)))))</f>
        <v>0</v>
      </c>
      <c r="N14" s="34">
        <f>IF(OR(N$5="",'Cost Margin'!$A22="",IF('Cost Margin'!$H22="",'Cost Margin'!$B$8,'Cost Margin'!$H22)="",IF('Cost Margin'!$I22="",'Cost Margin'!$B$9,'Cost Margin'!$I22)=""),0,IF(MIN(IF('Cost Margin'!$I22="",'Cost Margin'!$B$9,'Cost Margin'!$I22),N$6)&lt;MAX(IF('Cost Margin'!$H22="",'Cost Margin'!$B$8,'Cost Margin'!$H22),N$5),0,IFERROR(NETWORKDAYS(MAX(IF('Cost Margin'!$H22="",'Cost Margin'!$B$8,'Cost Margin'!$H22),N$5),MIN(IF('Cost Margin'!$I22="",'Cost Margin'!$B$9,'Cost Margin'!$I22),N$6),INDEX(Settings!$J$7:$M$60,0,MATCH('Cost Margin'!$C22,Settings!$J$6:$M$6,0))),NETWORKDAYS(MAX(IF('Cost Margin'!$H22="",'Cost Margin'!$B$8,'Cost Margin'!$H22),N$5),MIN(IF('Cost Margin'!$I22="",'Cost Margin'!$B$9,'Cost Margin'!$I22),N$6)))))</f>
        <v>0</v>
      </c>
      <c r="O14" s="34">
        <f>IF(OR(O$5="",'Cost Margin'!$A22="",IF('Cost Margin'!$H22="",'Cost Margin'!$B$8,'Cost Margin'!$H22)="",IF('Cost Margin'!$I22="",'Cost Margin'!$B$9,'Cost Margin'!$I22)=""),0,IF(MIN(IF('Cost Margin'!$I22="",'Cost Margin'!$B$9,'Cost Margin'!$I22),O$6)&lt;MAX(IF('Cost Margin'!$H22="",'Cost Margin'!$B$8,'Cost Margin'!$H22),O$5),0,IFERROR(NETWORKDAYS(MAX(IF('Cost Margin'!$H22="",'Cost Margin'!$B$8,'Cost Margin'!$H22),O$5),MIN(IF('Cost Margin'!$I22="",'Cost Margin'!$B$9,'Cost Margin'!$I22),O$6),INDEX(Settings!$J$7:$M$60,0,MATCH('Cost Margin'!$C22,Settings!$J$6:$M$6,0))),NETWORKDAYS(MAX(IF('Cost Margin'!$H22="",'Cost Margin'!$B$8,'Cost Margin'!$H22),O$5),MIN(IF('Cost Margin'!$I22="",'Cost Margin'!$B$9,'Cost Margin'!$I22),O$6)))))</f>
        <v>0</v>
      </c>
      <c r="P14" s="34">
        <f>IF(OR(P$5="",'Cost Margin'!$A22="",IF('Cost Margin'!$H22="",'Cost Margin'!$B$8,'Cost Margin'!$H22)="",IF('Cost Margin'!$I22="",'Cost Margin'!$B$9,'Cost Margin'!$I22)=""),0,IF(MIN(IF('Cost Margin'!$I22="",'Cost Margin'!$B$9,'Cost Margin'!$I22),P$6)&lt;MAX(IF('Cost Margin'!$H22="",'Cost Margin'!$B$8,'Cost Margin'!$H22),P$5),0,IFERROR(NETWORKDAYS(MAX(IF('Cost Margin'!$H22="",'Cost Margin'!$B$8,'Cost Margin'!$H22),P$5),MIN(IF('Cost Margin'!$I22="",'Cost Margin'!$B$9,'Cost Margin'!$I22),P$6),INDEX(Settings!$J$7:$M$60,0,MATCH('Cost Margin'!$C22,Settings!$J$6:$M$6,0))),NETWORKDAYS(MAX(IF('Cost Margin'!$H22="",'Cost Margin'!$B$8,'Cost Margin'!$H22),P$5),MIN(IF('Cost Margin'!$I22="",'Cost Margin'!$B$9,'Cost Margin'!$I22),P$6)))))</f>
        <v>0</v>
      </c>
      <c r="Q14" s="34">
        <f>IF(OR(Q$5="",'Cost Margin'!$A22="",IF('Cost Margin'!$H22="",'Cost Margin'!$B$8,'Cost Margin'!$H22)="",IF('Cost Margin'!$I22="",'Cost Margin'!$B$9,'Cost Margin'!$I22)=""),0,IF(MIN(IF('Cost Margin'!$I22="",'Cost Margin'!$B$9,'Cost Margin'!$I22),Q$6)&lt;MAX(IF('Cost Margin'!$H22="",'Cost Margin'!$B$8,'Cost Margin'!$H22),Q$5),0,IFERROR(NETWORKDAYS(MAX(IF('Cost Margin'!$H22="",'Cost Margin'!$B$8,'Cost Margin'!$H22),Q$5),MIN(IF('Cost Margin'!$I22="",'Cost Margin'!$B$9,'Cost Margin'!$I22),Q$6),INDEX(Settings!$J$7:$M$60,0,MATCH('Cost Margin'!$C22,Settings!$J$6:$M$6,0))),NETWORKDAYS(MAX(IF('Cost Margin'!$H22="",'Cost Margin'!$B$8,'Cost Margin'!$H22),Q$5),MIN(IF('Cost Margin'!$I22="",'Cost Margin'!$B$9,'Cost Margin'!$I22),Q$6)))))</f>
        <v>0</v>
      </c>
      <c r="R14" s="34">
        <f>IF(OR(R$5="",'Cost Margin'!$A22="",IF('Cost Margin'!$H22="",'Cost Margin'!$B$8,'Cost Margin'!$H22)="",IF('Cost Margin'!$I22="",'Cost Margin'!$B$9,'Cost Margin'!$I22)=""),0,IF(MIN(IF('Cost Margin'!$I22="",'Cost Margin'!$B$9,'Cost Margin'!$I22),R$6)&lt;MAX(IF('Cost Margin'!$H22="",'Cost Margin'!$B$8,'Cost Margin'!$H22),R$5),0,IFERROR(NETWORKDAYS(MAX(IF('Cost Margin'!$H22="",'Cost Margin'!$B$8,'Cost Margin'!$H22),R$5),MIN(IF('Cost Margin'!$I22="",'Cost Margin'!$B$9,'Cost Margin'!$I22),R$6),INDEX(Settings!$J$7:$M$60,0,MATCH('Cost Margin'!$C22,Settings!$J$6:$M$6,0))),NETWORKDAYS(MAX(IF('Cost Margin'!$H22="",'Cost Margin'!$B$8,'Cost Margin'!$H22),R$5),MIN(IF('Cost Margin'!$I22="",'Cost Margin'!$B$9,'Cost Margin'!$I22),R$6)))))</f>
        <v>0</v>
      </c>
      <c r="S14" s="34">
        <f>IF(OR(S$5="",'Cost Margin'!$A22="",IF('Cost Margin'!$H22="",'Cost Margin'!$B$8,'Cost Margin'!$H22)="",IF('Cost Margin'!$I22="",'Cost Margin'!$B$9,'Cost Margin'!$I22)=""),0,IF(MIN(IF('Cost Margin'!$I22="",'Cost Margin'!$B$9,'Cost Margin'!$I22),S$6)&lt;MAX(IF('Cost Margin'!$H22="",'Cost Margin'!$B$8,'Cost Margin'!$H22),S$5),0,IFERROR(NETWORKDAYS(MAX(IF('Cost Margin'!$H22="",'Cost Margin'!$B$8,'Cost Margin'!$H22),S$5),MIN(IF('Cost Margin'!$I22="",'Cost Margin'!$B$9,'Cost Margin'!$I22),S$6),INDEX(Settings!$J$7:$M$60,0,MATCH('Cost Margin'!$C22,Settings!$J$6:$M$6,0))),NETWORKDAYS(MAX(IF('Cost Margin'!$H22="",'Cost Margin'!$B$8,'Cost Margin'!$H22),S$5),MIN(IF('Cost Margin'!$I22="",'Cost Margin'!$B$9,'Cost Margin'!$I22),S$6)))))</f>
        <v>0</v>
      </c>
      <c r="T14" s="34">
        <f>IF(OR(T$5="",'Cost Margin'!$A22="",IF('Cost Margin'!$H22="",'Cost Margin'!$B$8,'Cost Margin'!$H22)="",IF('Cost Margin'!$I22="",'Cost Margin'!$B$9,'Cost Margin'!$I22)=""),0,IF(MIN(IF('Cost Margin'!$I22="",'Cost Margin'!$B$9,'Cost Margin'!$I22),T$6)&lt;MAX(IF('Cost Margin'!$H22="",'Cost Margin'!$B$8,'Cost Margin'!$H22),T$5),0,IFERROR(NETWORKDAYS(MAX(IF('Cost Margin'!$H22="",'Cost Margin'!$B$8,'Cost Margin'!$H22),T$5),MIN(IF('Cost Margin'!$I22="",'Cost Margin'!$B$9,'Cost Margin'!$I22),T$6),INDEX(Settings!$J$7:$M$60,0,MATCH('Cost Margin'!$C22,Settings!$J$6:$M$6,0))),NETWORKDAYS(MAX(IF('Cost Margin'!$H22="",'Cost Margin'!$B$8,'Cost Margin'!$H22),T$5),MIN(IF('Cost Margin'!$I22="",'Cost Margin'!$B$9,'Cost Margin'!$I22),T$6)))))</f>
        <v>0</v>
      </c>
      <c r="U14" s="34">
        <f>IF(OR(U$5="",'Cost Margin'!$A22="",IF('Cost Margin'!$H22="",'Cost Margin'!$B$8,'Cost Margin'!$H22)="",IF('Cost Margin'!$I22="",'Cost Margin'!$B$9,'Cost Margin'!$I22)=""),0,IF(MIN(IF('Cost Margin'!$I22="",'Cost Margin'!$B$9,'Cost Margin'!$I22),U$6)&lt;MAX(IF('Cost Margin'!$H22="",'Cost Margin'!$B$8,'Cost Margin'!$H22),U$5),0,IFERROR(NETWORKDAYS(MAX(IF('Cost Margin'!$H22="",'Cost Margin'!$B$8,'Cost Margin'!$H22),U$5),MIN(IF('Cost Margin'!$I22="",'Cost Margin'!$B$9,'Cost Margin'!$I22),U$6),INDEX(Settings!$J$7:$M$60,0,MATCH('Cost Margin'!$C22,Settings!$J$6:$M$6,0))),NETWORKDAYS(MAX(IF('Cost Margin'!$H22="",'Cost Margin'!$B$8,'Cost Margin'!$H22),U$5),MIN(IF('Cost Margin'!$I22="",'Cost Margin'!$B$9,'Cost Margin'!$I22),U$6)))))</f>
        <v>0</v>
      </c>
      <c r="V14" s="34">
        <f>IF(OR(V$5="",'Cost Margin'!$A22="",IF('Cost Margin'!$H22="",'Cost Margin'!$B$8,'Cost Margin'!$H22)="",IF('Cost Margin'!$I22="",'Cost Margin'!$B$9,'Cost Margin'!$I22)=""),0,IF(MIN(IF('Cost Margin'!$I22="",'Cost Margin'!$B$9,'Cost Margin'!$I22),V$6)&lt;MAX(IF('Cost Margin'!$H22="",'Cost Margin'!$B$8,'Cost Margin'!$H22),V$5),0,IFERROR(NETWORKDAYS(MAX(IF('Cost Margin'!$H22="",'Cost Margin'!$B$8,'Cost Margin'!$H22),V$5),MIN(IF('Cost Margin'!$I22="",'Cost Margin'!$B$9,'Cost Margin'!$I22),V$6),INDEX(Settings!$J$7:$M$60,0,MATCH('Cost Margin'!$C22,Settings!$J$6:$M$6,0))),NETWORKDAYS(MAX(IF('Cost Margin'!$H22="",'Cost Margin'!$B$8,'Cost Margin'!$H22),V$5),MIN(IF('Cost Margin'!$I22="",'Cost Margin'!$B$9,'Cost Margin'!$I22),V$6)))))</f>
        <v>0</v>
      </c>
      <c r="W14" s="34">
        <f>IF(OR(W$5="",'Cost Margin'!$A22="",IF('Cost Margin'!$H22="",'Cost Margin'!$B$8,'Cost Margin'!$H22)="",IF('Cost Margin'!$I22="",'Cost Margin'!$B$9,'Cost Margin'!$I22)=""),0,IF(MIN(IF('Cost Margin'!$I22="",'Cost Margin'!$B$9,'Cost Margin'!$I22),W$6)&lt;MAX(IF('Cost Margin'!$H22="",'Cost Margin'!$B$8,'Cost Margin'!$H22),W$5),0,IFERROR(NETWORKDAYS(MAX(IF('Cost Margin'!$H22="",'Cost Margin'!$B$8,'Cost Margin'!$H22),W$5),MIN(IF('Cost Margin'!$I22="",'Cost Margin'!$B$9,'Cost Margin'!$I22),W$6),INDEX(Settings!$J$7:$M$60,0,MATCH('Cost Margin'!$C22,Settings!$J$6:$M$6,0))),NETWORKDAYS(MAX(IF('Cost Margin'!$H22="",'Cost Margin'!$B$8,'Cost Margin'!$H22),W$5),MIN(IF('Cost Margin'!$I22="",'Cost Margin'!$B$9,'Cost Margin'!$I22),W$6)))))</f>
        <v>0</v>
      </c>
      <c r="X14" s="34">
        <f>IF(OR(X$5="",'Cost Margin'!$A22="",IF('Cost Margin'!$H22="",'Cost Margin'!$B$8,'Cost Margin'!$H22)="",IF('Cost Margin'!$I22="",'Cost Margin'!$B$9,'Cost Margin'!$I22)=""),0,IF(MIN(IF('Cost Margin'!$I22="",'Cost Margin'!$B$9,'Cost Margin'!$I22),X$6)&lt;MAX(IF('Cost Margin'!$H22="",'Cost Margin'!$B$8,'Cost Margin'!$H22),X$5),0,IFERROR(NETWORKDAYS(MAX(IF('Cost Margin'!$H22="",'Cost Margin'!$B$8,'Cost Margin'!$H22),X$5),MIN(IF('Cost Margin'!$I22="",'Cost Margin'!$B$9,'Cost Margin'!$I22),X$6),INDEX(Settings!$J$7:$M$60,0,MATCH('Cost Margin'!$C22,Settings!$J$6:$M$6,0))),NETWORKDAYS(MAX(IF('Cost Margin'!$H22="",'Cost Margin'!$B$8,'Cost Margin'!$H22),X$5),MIN(IF('Cost Margin'!$I22="",'Cost Margin'!$B$9,'Cost Margin'!$I22),X$6)))))</f>
        <v>0</v>
      </c>
      <c r="Y14" s="34">
        <f>IF(OR(Y$5="",'Cost Margin'!$A22="",IF('Cost Margin'!$H22="",'Cost Margin'!$B$8,'Cost Margin'!$H22)="",IF('Cost Margin'!$I22="",'Cost Margin'!$B$9,'Cost Margin'!$I22)=""),0,IF(MIN(IF('Cost Margin'!$I22="",'Cost Margin'!$B$9,'Cost Margin'!$I22),Y$6)&lt;MAX(IF('Cost Margin'!$H22="",'Cost Margin'!$B$8,'Cost Margin'!$H22),Y$5),0,IFERROR(NETWORKDAYS(MAX(IF('Cost Margin'!$H22="",'Cost Margin'!$B$8,'Cost Margin'!$H22),Y$5),MIN(IF('Cost Margin'!$I22="",'Cost Margin'!$B$9,'Cost Margin'!$I22),Y$6),INDEX(Settings!$J$7:$M$60,0,MATCH('Cost Margin'!$C22,Settings!$J$6:$M$6,0))),NETWORKDAYS(MAX(IF('Cost Margin'!$H22="",'Cost Margin'!$B$8,'Cost Margin'!$H22),Y$5),MIN(IF('Cost Margin'!$I22="",'Cost Margin'!$B$9,'Cost Margin'!$I22),Y$6)))))</f>
        <v>0</v>
      </c>
      <c r="Z14" s="34">
        <f>IF(OR(Z$5="",'Cost Margin'!$A22="",IF('Cost Margin'!$H22="",'Cost Margin'!$B$8,'Cost Margin'!$H22)="",IF('Cost Margin'!$I22="",'Cost Margin'!$B$9,'Cost Margin'!$I22)=""),0,IF(MIN(IF('Cost Margin'!$I22="",'Cost Margin'!$B$9,'Cost Margin'!$I22),Z$6)&lt;MAX(IF('Cost Margin'!$H22="",'Cost Margin'!$B$8,'Cost Margin'!$H22),Z$5),0,IFERROR(NETWORKDAYS(MAX(IF('Cost Margin'!$H22="",'Cost Margin'!$B$8,'Cost Margin'!$H22),Z$5),MIN(IF('Cost Margin'!$I22="",'Cost Margin'!$B$9,'Cost Margin'!$I22),Z$6),INDEX(Settings!$J$7:$M$60,0,MATCH('Cost Margin'!$C22,Settings!$J$6:$M$6,0))),NETWORKDAYS(MAX(IF('Cost Margin'!$H22="",'Cost Margin'!$B$8,'Cost Margin'!$H22),Z$5),MIN(IF('Cost Margin'!$I22="",'Cost Margin'!$B$9,'Cost Margin'!$I22),Z$6)))))</f>
        <v>0</v>
      </c>
    </row>
    <row r="15" spans="1:27" x14ac:dyDescent="0.2">
      <c r="A15">
        <v>7</v>
      </c>
      <c r="B15" s="33" t="str">
        <f>IF('Cost Margin'!A23="","",'Cost Margin'!A23)</f>
        <v/>
      </c>
      <c r="C15" s="34">
        <f>IF(OR(C$5="",'Cost Margin'!$A23="",IF('Cost Margin'!$H23="",'Cost Margin'!$B$8,'Cost Margin'!$H23)="",IF('Cost Margin'!$I23="",'Cost Margin'!$B$9,'Cost Margin'!$I23)=""),0,IF(MIN(IF('Cost Margin'!$I23="",'Cost Margin'!$B$9,'Cost Margin'!$I23),C$6)&lt;MAX(IF('Cost Margin'!$H23="",'Cost Margin'!$B$8,'Cost Margin'!$H23),C$5),0,IFERROR(NETWORKDAYS(MAX(IF('Cost Margin'!$H23="",'Cost Margin'!$B$8,'Cost Margin'!$H23),C$5),MIN(IF('Cost Margin'!$I23="",'Cost Margin'!$B$9,'Cost Margin'!$I23),C$6),INDEX(Settings!$J$7:$M$60,0,MATCH('Cost Margin'!$C23,Settings!$J$6:$M$6,0))),NETWORKDAYS(MAX(IF('Cost Margin'!$H23="",'Cost Margin'!$B$8,'Cost Margin'!$H23),C$5),MIN(IF('Cost Margin'!$I23="",'Cost Margin'!$B$9,'Cost Margin'!$I23),C$6)))))</f>
        <v>0</v>
      </c>
      <c r="D15" s="34">
        <f>IF(OR(D$5="",'Cost Margin'!$A23="",IF('Cost Margin'!$H23="",'Cost Margin'!$B$8,'Cost Margin'!$H23)="",IF('Cost Margin'!$I23="",'Cost Margin'!$B$9,'Cost Margin'!$I23)=""),0,IF(MIN(IF('Cost Margin'!$I23="",'Cost Margin'!$B$9,'Cost Margin'!$I23),D$6)&lt;MAX(IF('Cost Margin'!$H23="",'Cost Margin'!$B$8,'Cost Margin'!$H23),D$5),0,IFERROR(NETWORKDAYS(MAX(IF('Cost Margin'!$H23="",'Cost Margin'!$B$8,'Cost Margin'!$H23),D$5),MIN(IF('Cost Margin'!$I23="",'Cost Margin'!$B$9,'Cost Margin'!$I23),D$6),INDEX(Settings!$J$7:$M$60,0,MATCH('Cost Margin'!$C23,Settings!$J$6:$M$6,0))),NETWORKDAYS(MAX(IF('Cost Margin'!$H23="",'Cost Margin'!$B$8,'Cost Margin'!$H23),D$5),MIN(IF('Cost Margin'!$I23="",'Cost Margin'!$B$9,'Cost Margin'!$I23),D$6)))))</f>
        <v>0</v>
      </c>
      <c r="E15" s="34">
        <f>IF(OR(E$5="",'Cost Margin'!$A23="",IF('Cost Margin'!$H23="",'Cost Margin'!$B$8,'Cost Margin'!$H23)="",IF('Cost Margin'!$I23="",'Cost Margin'!$B$9,'Cost Margin'!$I23)=""),0,IF(MIN(IF('Cost Margin'!$I23="",'Cost Margin'!$B$9,'Cost Margin'!$I23),E$6)&lt;MAX(IF('Cost Margin'!$H23="",'Cost Margin'!$B$8,'Cost Margin'!$H23),E$5),0,IFERROR(NETWORKDAYS(MAX(IF('Cost Margin'!$H23="",'Cost Margin'!$B$8,'Cost Margin'!$H23),E$5),MIN(IF('Cost Margin'!$I23="",'Cost Margin'!$B$9,'Cost Margin'!$I23),E$6),INDEX(Settings!$J$7:$M$60,0,MATCH('Cost Margin'!$C23,Settings!$J$6:$M$6,0))),NETWORKDAYS(MAX(IF('Cost Margin'!$H23="",'Cost Margin'!$B$8,'Cost Margin'!$H23),E$5),MIN(IF('Cost Margin'!$I23="",'Cost Margin'!$B$9,'Cost Margin'!$I23),E$6)))))</f>
        <v>0</v>
      </c>
      <c r="F15" s="34">
        <f>IF(OR(F$5="",'Cost Margin'!$A23="",IF('Cost Margin'!$H23="",'Cost Margin'!$B$8,'Cost Margin'!$H23)="",IF('Cost Margin'!$I23="",'Cost Margin'!$B$9,'Cost Margin'!$I23)=""),0,IF(MIN(IF('Cost Margin'!$I23="",'Cost Margin'!$B$9,'Cost Margin'!$I23),F$6)&lt;MAX(IF('Cost Margin'!$H23="",'Cost Margin'!$B$8,'Cost Margin'!$H23),F$5),0,IFERROR(NETWORKDAYS(MAX(IF('Cost Margin'!$H23="",'Cost Margin'!$B$8,'Cost Margin'!$H23),F$5),MIN(IF('Cost Margin'!$I23="",'Cost Margin'!$B$9,'Cost Margin'!$I23),F$6),INDEX(Settings!$J$7:$M$60,0,MATCH('Cost Margin'!$C23,Settings!$J$6:$M$6,0))),NETWORKDAYS(MAX(IF('Cost Margin'!$H23="",'Cost Margin'!$B$8,'Cost Margin'!$H23),F$5),MIN(IF('Cost Margin'!$I23="",'Cost Margin'!$B$9,'Cost Margin'!$I23),F$6)))))</f>
        <v>0</v>
      </c>
      <c r="G15" s="34">
        <f>IF(OR(G$5="",'Cost Margin'!$A23="",IF('Cost Margin'!$H23="",'Cost Margin'!$B$8,'Cost Margin'!$H23)="",IF('Cost Margin'!$I23="",'Cost Margin'!$B$9,'Cost Margin'!$I23)=""),0,IF(MIN(IF('Cost Margin'!$I23="",'Cost Margin'!$B$9,'Cost Margin'!$I23),G$6)&lt;MAX(IF('Cost Margin'!$H23="",'Cost Margin'!$B$8,'Cost Margin'!$H23),G$5),0,IFERROR(NETWORKDAYS(MAX(IF('Cost Margin'!$H23="",'Cost Margin'!$B$8,'Cost Margin'!$H23),G$5),MIN(IF('Cost Margin'!$I23="",'Cost Margin'!$B$9,'Cost Margin'!$I23),G$6),INDEX(Settings!$J$7:$M$60,0,MATCH('Cost Margin'!$C23,Settings!$J$6:$M$6,0))),NETWORKDAYS(MAX(IF('Cost Margin'!$H23="",'Cost Margin'!$B$8,'Cost Margin'!$H23),G$5),MIN(IF('Cost Margin'!$I23="",'Cost Margin'!$B$9,'Cost Margin'!$I23),G$6)))))</f>
        <v>0</v>
      </c>
      <c r="H15" s="34">
        <f>IF(OR(H$5="",'Cost Margin'!$A23="",IF('Cost Margin'!$H23="",'Cost Margin'!$B$8,'Cost Margin'!$H23)="",IF('Cost Margin'!$I23="",'Cost Margin'!$B$9,'Cost Margin'!$I23)=""),0,IF(MIN(IF('Cost Margin'!$I23="",'Cost Margin'!$B$9,'Cost Margin'!$I23),H$6)&lt;MAX(IF('Cost Margin'!$H23="",'Cost Margin'!$B$8,'Cost Margin'!$H23),H$5),0,IFERROR(NETWORKDAYS(MAX(IF('Cost Margin'!$H23="",'Cost Margin'!$B$8,'Cost Margin'!$H23),H$5),MIN(IF('Cost Margin'!$I23="",'Cost Margin'!$B$9,'Cost Margin'!$I23),H$6),INDEX(Settings!$J$7:$M$60,0,MATCH('Cost Margin'!$C23,Settings!$J$6:$M$6,0))),NETWORKDAYS(MAX(IF('Cost Margin'!$H23="",'Cost Margin'!$B$8,'Cost Margin'!$H23),H$5),MIN(IF('Cost Margin'!$I23="",'Cost Margin'!$B$9,'Cost Margin'!$I23),H$6)))))</f>
        <v>0</v>
      </c>
      <c r="I15" s="34">
        <f>IF(OR(I$5="",'Cost Margin'!$A23="",IF('Cost Margin'!$H23="",'Cost Margin'!$B$8,'Cost Margin'!$H23)="",IF('Cost Margin'!$I23="",'Cost Margin'!$B$9,'Cost Margin'!$I23)=""),0,IF(MIN(IF('Cost Margin'!$I23="",'Cost Margin'!$B$9,'Cost Margin'!$I23),I$6)&lt;MAX(IF('Cost Margin'!$H23="",'Cost Margin'!$B$8,'Cost Margin'!$H23),I$5),0,IFERROR(NETWORKDAYS(MAX(IF('Cost Margin'!$H23="",'Cost Margin'!$B$8,'Cost Margin'!$H23),I$5),MIN(IF('Cost Margin'!$I23="",'Cost Margin'!$B$9,'Cost Margin'!$I23),I$6),INDEX(Settings!$J$7:$M$60,0,MATCH('Cost Margin'!$C23,Settings!$J$6:$M$6,0))),NETWORKDAYS(MAX(IF('Cost Margin'!$H23="",'Cost Margin'!$B$8,'Cost Margin'!$H23),I$5),MIN(IF('Cost Margin'!$I23="",'Cost Margin'!$B$9,'Cost Margin'!$I23),I$6)))))</f>
        <v>0</v>
      </c>
      <c r="J15" s="34">
        <f>IF(OR(J$5="",'Cost Margin'!$A23="",IF('Cost Margin'!$H23="",'Cost Margin'!$B$8,'Cost Margin'!$H23)="",IF('Cost Margin'!$I23="",'Cost Margin'!$B$9,'Cost Margin'!$I23)=""),0,IF(MIN(IF('Cost Margin'!$I23="",'Cost Margin'!$B$9,'Cost Margin'!$I23),J$6)&lt;MAX(IF('Cost Margin'!$H23="",'Cost Margin'!$B$8,'Cost Margin'!$H23),J$5),0,IFERROR(NETWORKDAYS(MAX(IF('Cost Margin'!$H23="",'Cost Margin'!$B$8,'Cost Margin'!$H23),J$5),MIN(IF('Cost Margin'!$I23="",'Cost Margin'!$B$9,'Cost Margin'!$I23),J$6),INDEX(Settings!$J$7:$M$60,0,MATCH('Cost Margin'!$C23,Settings!$J$6:$M$6,0))),NETWORKDAYS(MAX(IF('Cost Margin'!$H23="",'Cost Margin'!$B$8,'Cost Margin'!$H23),J$5),MIN(IF('Cost Margin'!$I23="",'Cost Margin'!$B$9,'Cost Margin'!$I23),J$6)))))</f>
        <v>0</v>
      </c>
      <c r="K15" s="34">
        <f>IF(OR(K$5="",'Cost Margin'!$A23="",IF('Cost Margin'!$H23="",'Cost Margin'!$B$8,'Cost Margin'!$H23)="",IF('Cost Margin'!$I23="",'Cost Margin'!$B$9,'Cost Margin'!$I23)=""),0,IF(MIN(IF('Cost Margin'!$I23="",'Cost Margin'!$B$9,'Cost Margin'!$I23),K$6)&lt;MAX(IF('Cost Margin'!$H23="",'Cost Margin'!$B$8,'Cost Margin'!$H23),K$5),0,IFERROR(NETWORKDAYS(MAX(IF('Cost Margin'!$H23="",'Cost Margin'!$B$8,'Cost Margin'!$H23),K$5),MIN(IF('Cost Margin'!$I23="",'Cost Margin'!$B$9,'Cost Margin'!$I23),K$6),INDEX(Settings!$J$7:$M$60,0,MATCH('Cost Margin'!$C23,Settings!$J$6:$M$6,0))),NETWORKDAYS(MAX(IF('Cost Margin'!$H23="",'Cost Margin'!$B$8,'Cost Margin'!$H23),K$5),MIN(IF('Cost Margin'!$I23="",'Cost Margin'!$B$9,'Cost Margin'!$I23),K$6)))))</f>
        <v>0</v>
      </c>
      <c r="L15" s="34">
        <f>IF(OR(L$5="",'Cost Margin'!$A23="",IF('Cost Margin'!$H23="",'Cost Margin'!$B$8,'Cost Margin'!$H23)="",IF('Cost Margin'!$I23="",'Cost Margin'!$B$9,'Cost Margin'!$I23)=""),0,IF(MIN(IF('Cost Margin'!$I23="",'Cost Margin'!$B$9,'Cost Margin'!$I23),L$6)&lt;MAX(IF('Cost Margin'!$H23="",'Cost Margin'!$B$8,'Cost Margin'!$H23),L$5),0,IFERROR(NETWORKDAYS(MAX(IF('Cost Margin'!$H23="",'Cost Margin'!$B$8,'Cost Margin'!$H23),L$5),MIN(IF('Cost Margin'!$I23="",'Cost Margin'!$B$9,'Cost Margin'!$I23),L$6),INDEX(Settings!$J$7:$M$60,0,MATCH('Cost Margin'!$C23,Settings!$J$6:$M$6,0))),NETWORKDAYS(MAX(IF('Cost Margin'!$H23="",'Cost Margin'!$B$8,'Cost Margin'!$H23),L$5),MIN(IF('Cost Margin'!$I23="",'Cost Margin'!$B$9,'Cost Margin'!$I23),L$6)))))</f>
        <v>0</v>
      </c>
      <c r="M15" s="34">
        <f>IF(OR(M$5="",'Cost Margin'!$A23="",IF('Cost Margin'!$H23="",'Cost Margin'!$B$8,'Cost Margin'!$H23)="",IF('Cost Margin'!$I23="",'Cost Margin'!$B$9,'Cost Margin'!$I23)=""),0,IF(MIN(IF('Cost Margin'!$I23="",'Cost Margin'!$B$9,'Cost Margin'!$I23),M$6)&lt;MAX(IF('Cost Margin'!$H23="",'Cost Margin'!$B$8,'Cost Margin'!$H23),M$5),0,IFERROR(NETWORKDAYS(MAX(IF('Cost Margin'!$H23="",'Cost Margin'!$B$8,'Cost Margin'!$H23),M$5),MIN(IF('Cost Margin'!$I23="",'Cost Margin'!$B$9,'Cost Margin'!$I23),M$6),INDEX(Settings!$J$7:$M$60,0,MATCH('Cost Margin'!$C23,Settings!$J$6:$M$6,0))),NETWORKDAYS(MAX(IF('Cost Margin'!$H23="",'Cost Margin'!$B$8,'Cost Margin'!$H23),M$5),MIN(IF('Cost Margin'!$I23="",'Cost Margin'!$B$9,'Cost Margin'!$I23),M$6)))))</f>
        <v>0</v>
      </c>
      <c r="N15" s="34">
        <f>IF(OR(N$5="",'Cost Margin'!$A23="",IF('Cost Margin'!$H23="",'Cost Margin'!$B$8,'Cost Margin'!$H23)="",IF('Cost Margin'!$I23="",'Cost Margin'!$B$9,'Cost Margin'!$I23)=""),0,IF(MIN(IF('Cost Margin'!$I23="",'Cost Margin'!$B$9,'Cost Margin'!$I23),N$6)&lt;MAX(IF('Cost Margin'!$H23="",'Cost Margin'!$B$8,'Cost Margin'!$H23),N$5),0,IFERROR(NETWORKDAYS(MAX(IF('Cost Margin'!$H23="",'Cost Margin'!$B$8,'Cost Margin'!$H23),N$5),MIN(IF('Cost Margin'!$I23="",'Cost Margin'!$B$9,'Cost Margin'!$I23),N$6),INDEX(Settings!$J$7:$M$60,0,MATCH('Cost Margin'!$C23,Settings!$J$6:$M$6,0))),NETWORKDAYS(MAX(IF('Cost Margin'!$H23="",'Cost Margin'!$B$8,'Cost Margin'!$H23),N$5),MIN(IF('Cost Margin'!$I23="",'Cost Margin'!$B$9,'Cost Margin'!$I23),N$6)))))</f>
        <v>0</v>
      </c>
      <c r="O15" s="34">
        <f>IF(OR(O$5="",'Cost Margin'!$A23="",IF('Cost Margin'!$H23="",'Cost Margin'!$B$8,'Cost Margin'!$H23)="",IF('Cost Margin'!$I23="",'Cost Margin'!$B$9,'Cost Margin'!$I23)=""),0,IF(MIN(IF('Cost Margin'!$I23="",'Cost Margin'!$B$9,'Cost Margin'!$I23),O$6)&lt;MAX(IF('Cost Margin'!$H23="",'Cost Margin'!$B$8,'Cost Margin'!$H23),O$5),0,IFERROR(NETWORKDAYS(MAX(IF('Cost Margin'!$H23="",'Cost Margin'!$B$8,'Cost Margin'!$H23),O$5),MIN(IF('Cost Margin'!$I23="",'Cost Margin'!$B$9,'Cost Margin'!$I23),O$6),INDEX(Settings!$J$7:$M$60,0,MATCH('Cost Margin'!$C23,Settings!$J$6:$M$6,0))),NETWORKDAYS(MAX(IF('Cost Margin'!$H23="",'Cost Margin'!$B$8,'Cost Margin'!$H23),O$5),MIN(IF('Cost Margin'!$I23="",'Cost Margin'!$B$9,'Cost Margin'!$I23),O$6)))))</f>
        <v>0</v>
      </c>
      <c r="P15" s="34">
        <f>IF(OR(P$5="",'Cost Margin'!$A23="",IF('Cost Margin'!$H23="",'Cost Margin'!$B$8,'Cost Margin'!$H23)="",IF('Cost Margin'!$I23="",'Cost Margin'!$B$9,'Cost Margin'!$I23)=""),0,IF(MIN(IF('Cost Margin'!$I23="",'Cost Margin'!$B$9,'Cost Margin'!$I23),P$6)&lt;MAX(IF('Cost Margin'!$H23="",'Cost Margin'!$B$8,'Cost Margin'!$H23),P$5),0,IFERROR(NETWORKDAYS(MAX(IF('Cost Margin'!$H23="",'Cost Margin'!$B$8,'Cost Margin'!$H23),P$5),MIN(IF('Cost Margin'!$I23="",'Cost Margin'!$B$9,'Cost Margin'!$I23),P$6),INDEX(Settings!$J$7:$M$60,0,MATCH('Cost Margin'!$C23,Settings!$J$6:$M$6,0))),NETWORKDAYS(MAX(IF('Cost Margin'!$H23="",'Cost Margin'!$B$8,'Cost Margin'!$H23),P$5),MIN(IF('Cost Margin'!$I23="",'Cost Margin'!$B$9,'Cost Margin'!$I23),P$6)))))</f>
        <v>0</v>
      </c>
      <c r="Q15" s="34">
        <f>IF(OR(Q$5="",'Cost Margin'!$A23="",IF('Cost Margin'!$H23="",'Cost Margin'!$B$8,'Cost Margin'!$H23)="",IF('Cost Margin'!$I23="",'Cost Margin'!$B$9,'Cost Margin'!$I23)=""),0,IF(MIN(IF('Cost Margin'!$I23="",'Cost Margin'!$B$9,'Cost Margin'!$I23),Q$6)&lt;MAX(IF('Cost Margin'!$H23="",'Cost Margin'!$B$8,'Cost Margin'!$H23),Q$5),0,IFERROR(NETWORKDAYS(MAX(IF('Cost Margin'!$H23="",'Cost Margin'!$B$8,'Cost Margin'!$H23),Q$5),MIN(IF('Cost Margin'!$I23="",'Cost Margin'!$B$9,'Cost Margin'!$I23),Q$6),INDEX(Settings!$J$7:$M$60,0,MATCH('Cost Margin'!$C23,Settings!$J$6:$M$6,0))),NETWORKDAYS(MAX(IF('Cost Margin'!$H23="",'Cost Margin'!$B$8,'Cost Margin'!$H23),Q$5),MIN(IF('Cost Margin'!$I23="",'Cost Margin'!$B$9,'Cost Margin'!$I23),Q$6)))))</f>
        <v>0</v>
      </c>
      <c r="R15" s="34">
        <f>IF(OR(R$5="",'Cost Margin'!$A23="",IF('Cost Margin'!$H23="",'Cost Margin'!$B$8,'Cost Margin'!$H23)="",IF('Cost Margin'!$I23="",'Cost Margin'!$B$9,'Cost Margin'!$I23)=""),0,IF(MIN(IF('Cost Margin'!$I23="",'Cost Margin'!$B$9,'Cost Margin'!$I23),R$6)&lt;MAX(IF('Cost Margin'!$H23="",'Cost Margin'!$B$8,'Cost Margin'!$H23),R$5),0,IFERROR(NETWORKDAYS(MAX(IF('Cost Margin'!$H23="",'Cost Margin'!$B$8,'Cost Margin'!$H23),R$5),MIN(IF('Cost Margin'!$I23="",'Cost Margin'!$B$9,'Cost Margin'!$I23),R$6),INDEX(Settings!$J$7:$M$60,0,MATCH('Cost Margin'!$C23,Settings!$J$6:$M$6,0))),NETWORKDAYS(MAX(IF('Cost Margin'!$H23="",'Cost Margin'!$B$8,'Cost Margin'!$H23),R$5),MIN(IF('Cost Margin'!$I23="",'Cost Margin'!$B$9,'Cost Margin'!$I23),R$6)))))</f>
        <v>0</v>
      </c>
      <c r="S15" s="34">
        <f>IF(OR(S$5="",'Cost Margin'!$A23="",IF('Cost Margin'!$H23="",'Cost Margin'!$B$8,'Cost Margin'!$H23)="",IF('Cost Margin'!$I23="",'Cost Margin'!$B$9,'Cost Margin'!$I23)=""),0,IF(MIN(IF('Cost Margin'!$I23="",'Cost Margin'!$B$9,'Cost Margin'!$I23),S$6)&lt;MAX(IF('Cost Margin'!$H23="",'Cost Margin'!$B$8,'Cost Margin'!$H23),S$5),0,IFERROR(NETWORKDAYS(MAX(IF('Cost Margin'!$H23="",'Cost Margin'!$B$8,'Cost Margin'!$H23),S$5),MIN(IF('Cost Margin'!$I23="",'Cost Margin'!$B$9,'Cost Margin'!$I23),S$6),INDEX(Settings!$J$7:$M$60,0,MATCH('Cost Margin'!$C23,Settings!$J$6:$M$6,0))),NETWORKDAYS(MAX(IF('Cost Margin'!$H23="",'Cost Margin'!$B$8,'Cost Margin'!$H23),S$5),MIN(IF('Cost Margin'!$I23="",'Cost Margin'!$B$9,'Cost Margin'!$I23),S$6)))))</f>
        <v>0</v>
      </c>
      <c r="T15" s="34">
        <f>IF(OR(T$5="",'Cost Margin'!$A23="",IF('Cost Margin'!$H23="",'Cost Margin'!$B$8,'Cost Margin'!$H23)="",IF('Cost Margin'!$I23="",'Cost Margin'!$B$9,'Cost Margin'!$I23)=""),0,IF(MIN(IF('Cost Margin'!$I23="",'Cost Margin'!$B$9,'Cost Margin'!$I23),T$6)&lt;MAX(IF('Cost Margin'!$H23="",'Cost Margin'!$B$8,'Cost Margin'!$H23),T$5),0,IFERROR(NETWORKDAYS(MAX(IF('Cost Margin'!$H23="",'Cost Margin'!$B$8,'Cost Margin'!$H23),T$5),MIN(IF('Cost Margin'!$I23="",'Cost Margin'!$B$9,'Cost Margin'!$I23),T$6),INDEX(Settings!$J$7:$M$60,0,MATCH('Cost Margin'!$C23,Settings!$J$6:$M$6,0))),NETWORKDAYS(MAX(IF('Cost Margin'!$H23="",'Cost Margin'!$B$8,'Cost Margin'!$H23),T$5),MIN(IF('Cost Margin'!$I23="",'Cost Margin'!$B$9,'Cost Margin'!$I23),T$6)))))</f>
        <v>0</v>
      </c>
      <c r="U15" s="34">
        <f>IF(OR(U$5="",'Cost Margin'!$A23="",IF('Cost Margin'!$H23="",'Cost Margin'!$B$8,'Cost Margin'!$H23)="",IF('Cost Margin'!$I23="",'Cost Margin'!$B$9,'Cost Margin'!$I23)=""),0,IF(MIN(IF('Cost Margin'!$I23="",'Cost Margin'!$B$9,'Cost Margin'!$I23),U$6)&lt;MAX(IF('Cost Margin'!$H23="",'Cost Margin'!$B$8,'Cost Margin'!$H23),U$5),0,IFERROR(NETWORKDAYS(MAX(IF('Cost Margin'!$H23="",'Cost Margin'!$B$8,'Cost Margin'!$H23),U$5),MIN(IF('Cost Margin'!$I23="",'Cost Margin'!$B$9,'Cost Margin'!$I23),U$6),INDEX(Settings!$J$7:$M$60,0,MATCH('Cost Margin'!$C23,Settings!$J$6:$M$6,0))),NETWORKDAYS(MAX(IF('Cost Margin'!$H23="",'Cost Margin'!$B$8,'Cost Margin'!$H23),U$5),MIN(IF('Cost Margin'!$I23="",'Cost Margin'!$B$9,'Cost Margin'!$I23),U$6)))))</f>
        <v>0</v>
      </c>
      <c r="V15" s="34">
        <f>IF(OR(V$5="",'Cost Margin'!$A23="",IF('Cost Margin'!$H23="",'Cost Margin'!$B$8,'Cost Margin'!$H23)="",IF('Cost Margin'!$I23="",'Cost Margin'!$B$9,'Cost Margin'!$I23)=""),0,IF(MIN(IF('Cost Margin'!$I23="",'Cost Margin'!$B$9,'Cost Margin'!$I23),V$6)&lt;MAX(IF('Cost Margin'!$H23="",'Cost Margin'!$B$8,'Cost Margin'!$H23),V$5),0,IFERROR(NETWORKDAYS(MAX(IF('Cost Margin'!$H23="",'Cost Margin'!$B$8,'Cost Margin'!$H23),V$5),MIN(IF('Cost Margin'!$I23="",'Cost Margin'!$B$9,'Cost Margin'!$I23),V$6),INDEX(Settings!$J$7:$M$60,0,MATCH('Cost Margin'!$C23,Settings!$J$6:$M$6,0))),NETWORKDAYS(MAX(IF('Cost Margin'!$H23="",'Cost Margin'!$B$8,'Cost Margin'!$H23),V$5),MIN(IF('Cost Margin'!$I23="",'Cost Margin'!$B$9,'Cost Margin'!$I23),V$6)))))</f>
        <v>0</v>
      </c>
      <c r="W15" s="34">
        <f>IF(OR(W$5="",'Cost Margin'!$A23="",IF('Cost Margin'!$H23="",'Cost Margin'!$B$8,'Cost Margin'!$H23)="",IF('Cost Margin'!$I23="",'Cost Margin'!$B$9,'Cost Margin'!$I23)=""),0,IF(MIN(IF('Cost Margin'!$I23="",'Cost Margin'!$B$9,'Cost Margin'!$I23),W$6)&lt;MAX(IF('Cost Margin'!$H23="",'Cost Margin'!$B$8,'Cost Margin'!$H23),W$5),0,IFERROR(NETWORKDAYS(MAX(IF('Cost Margin'!$H23="",'Cost Margin'!$B$8,'Cost Margin'!$H23),W$5),MIN(IF('Cost Margin'!$I23="",'Cost Margin'!$B$9,'Cost Margin'!$I23),W$6),INDEX(Settings!$J$7:$M$60,0,MATCH('Cost Margin'!$C23,Settings!$J$6:$M$6,0))),NETWORKDAYS(MAX(IF('Cost Margin'!$H23="",'Cost Margin'!$B$8,'Cost Margin'!$H23),W$5),MIN(IF('Cost Margin'!$I23="",'Cost Margin'!$B$9,'Cost Margin'!$I23),W$6)))))</f>
        <v>0</v>
      </c>
      <c r="X15" s="34">
        <f>IF(OR(X$5="",'Cost Margin'!$A23="",IF('Cost Margin'!$H23="",'Cost Margin'!$B$8,'Cost Margin'!$H23)="",IF('Cost Margin'!$I23="",'Cost Margin'!$B$9,'Cost Margin'!$I23)=""),0,IF(MIN(IF('Cost Margin'!$I23="",'Cost Margin'!$B$9,'Cost Margin'!$I23),X$6)&lt;MAX(IF('Cost Margin'!$H23="",'Cost Margin'!$B$8,'Cost Margin'!$H23),X$5),0,IFERROR(NETWORKDAYS(MAX(IF('Cost Margin'!$H23="",'Cost Margin'!$B$8,'Cost Margin'!$H23),X$5),MIN(IF('Cost Margin'!$I23="",'Cost Margin'!$B$9,'Cost Margin'!$I23),X$6),INDEX(Settings!$J$7:$M$60,0,MATCH('Cost Margin'!$C23,Settings!$J$6:$M$6,0))),NETWORKDAYS(MAX(IF('Cost Margin'!$H23="",'Cost Margin'!$B$8,'Cost Margin'!$H23),X$5),MIN(IF('Cost Margin'!$I23="",'Cost Margin'!$B$9,'Cost Margin'!$I23),X$6)))))</f>
        <v>0</v>
      </c>
      <c r="Y15" s="34">
        <f>IF(OR(Y$5="",'Cost Margin'!$A23="",IF('Cost Margin'!$H23="",'Cost Margin'!$B$8,'Cost Margin'!$H23)="",IF('Cost Margin'!$I23="",'Cost Margin'!$B$9,'Cost Margin'!$I23)=""),0,IF(MIN(IF('Cost Margin'!$I23="",'Cost Margin'!$B$9,'Cost Margin'!$I23),Y$6)&lt;MAX(IF('Cost Margin'!$H23="",'Cost Margin'!$B$8,'Cost Margin'!$H23),Y$5),0,IFERROR(NETWORKDAYS(MAX(IF('Cost Margin'!$H23="",'Cost Margin'!$B$8,'Cost Margin'!$H23),Y$5),MIN(IF('Cost Margin'!$I23="",'Cost Margin'!$B$9,'Cost Margin'!$I23),Y$6),INDEX(Settings!$J$7:$M$60,0,MATCH('Cost Margin'!$C23,Settings!$J$6:$M$6,0))),NETWORKDAYS(MAX(IF('Cost Margin'!$H23="",'Cost Margin'!$B$8,'Cost Margin'!$H23),Y$5),MIN(IF('Cost Margin'!$I23="",'Cost Margin'!$B$9,'Cost Margin'!$I23),Y$6)))))</f>
        <v>0</v>
      </c>
      <c r="Z15" s="34">
        <f>IF(OR(Z$5="",'Cost Margin'!$A23="",IF('Cost Margin'!$H23="",'Cost Margin'!$B$8,'Cost Margin'!$H23)="",IF('Cost Margin'!$I23="",'Cost Margin'!$B$9,'Cost Margin'!$I23)=""),0,IF(MIN(IF('Cost Margin'!$I23="",'Cost Margin'!$B$9,'Cost Margin'!$I23),Z$6)&lt;MAX(IF('Cost Margin'!$H23="",'Cost Margin'!$B$8,'Cost Margin'!$H23),Z$5),0,IFERROR(NETWORKDAYS(MAX(IF('Cost Margin'!$H23="",'Cost Margin'!$B$8,'Cost Margin'!$H23),Z$5),MIN(IF('Cost Margin'!$I23="",'Cost Margin'!$B$9,'Cost Margin'!$I23),Z$6),INDEX(Settings!$J$7:$M$60,0,MATCH('Cost Margin'!$C23,Settings!$J$6:$M$6,0))),NETWORKDAYS(MAX(IF('Cost Margin'!$H23="",'Cost Margin'!$B$8,'Cost Margin'!$H23),Z$5),MIN(IF('Cost Margin'!$I23="",'Cost Margin'!$B$9,'Cost Margin'!$I23),Z$6)))))</f>
        <v>0</v>
      </c>
    </row>
    <row r="16" spans="1:27" x14ac:dyDescent="0.2">
      <c r="A16">
        <v>8</v>
      </c>
      <c r="B16" s="33" t="str">
        <f>IF('Cost Margin'!A24="","",'Cost Margin'!A24)</f>
        <v/>
      </c>
      <c r="C16" s="34">
        <f>IF(OR(C$5="",'Cost Margin'!$A24="",IF('Cost Margin'!$H24="",'Cost Margin'!$B$8,'Cost Margin'!$H24)="",IF('Cost Margin'!$I24="",'Cost Margin'!$B$9,'Cost Margin'!$I24)=""),0,IF(MIN(IF('Cost Margin'!$I24="",'Cost Margin'!$B$9,'Cost Margin'!$I24),C$6)&lt;MAX(IF('Cost Margin'!$H24="",'Cost Margin'!$B$8,'Cost Margin'!$H24),C$5),0,IFERROR(NETWORKDAYS(MAX(IF('Cost Margin'!$H24="",'Cost Margin'!$B$8,'Cost Margin'!$H24),C$5),MIN(IF('Cost Margin'!$I24="",'Cost Margin'!$B$9,'Cost Margin'!$I24),C$6),INDEX(Settings!$J$7:$M$60,0,MATCH('Cost Margin'!$C24,Settings!$J$6:$M$6,0))),NETWORKDAYS(MAX(IF('Cost Margin'!$H24="",'Cost Margin'!$B$8,'Cost Margin'!$H24),C$5),MIN(IF('Cost Margin'!$I24="",'Cost Margin'!$B$9,'Cost Margin'!$I24),C$6)))))</f>
        <v>0</v>
      </c>
      <c r="D16" s="34">
        <f>IF(OR(D$5="",'Cost Margin'!$A24="",IF('Cost Margin'!$H24="",'Cost Margin'!$B$8,'Cost Margin'!$H24)="",IF('Cost Margin'!$I24="",'Cost Margin'!$B$9,'Cost Margin'!$I24)=""),0,IF(MIN(IF('Cost Margin'!$I24="",'Cost Margin'!$B$9,'Cost Margin'!$I24),D$6)&lt;MAX(IF('Cost Margin'!$H24="",'Cost Margin'!$B$8,'Cost Margin'!$H24),D$5),0,IFERROR(NETWORKDAYS(MAX(IF('Cost Margin'!$H24="",'Cost Margin'!$B$8,'Cost Margin'!$H24),D$5),MIN(IF('Cost Margin'!$I24="",'Cost Margin'!$B$9,'Cost Margin'!$I24),D$6),INDEX(Settings!$J$7:$M$60,0,MATCH('Cost Margin'!$C24,Settings!$J$6:$M$6,0))),NETWORKDAYS(MAX(IF('Cost Margin'!$H24="",'Cost Margin'!$B$8,'Cost Margin'!$H24),D$5),MIN(IF('Cost Margin'!$I24="",'Cost Margin'!$B$9,'Cost Margin'!$I24),D$6)))))</f>
        <v>0</v>
      </c>
      <c r="E16" s="34">
        <f>IF(OR(E$5="",'Cost Margin'!$A24="",IF('Cost Margin'!$H24="",'Cost Margin'!$B$8,'Cost Margin'!$H24)="",IF('Cost Margin'!$I24="",'Cost Margin'!$B$9,'Cost Margin'!$I24)=""),0,IF(MIN(IF('Cost Margin'!$I24="",'Cost Margin'!$B$9,'Cost Margin'!$I24),E$6)&lt;MAX(IF('Cost Margin'!$H24="",'Cost Margin'!$B$8,'Cost Margin'!$H24),E$5),0,IFERROR(NETWORKDAYS(MAX(IF('Cost Margin'!$H24="",'Cost Margin'!$B$8,'Cost Margin'!$H24),E$5),MIN(IF('Cost Margin'!$I24="",'Cost Margin'!$B$9,'Cost Margin'!$I24),E$6),INDEX(Settings!$J$7:$M$60,0,MATCH('Cost Margin'!$C24,Settings!$J$6:$M$6,0))),NETWORKDAYS(MAX(IF('Cost Margin'!$H24="",'Cost Margin'!$B$8,'Cost Margin'!$H24),E$5),MIN(IF('Cost Margin'!$I24="",'Cost Margin'!$B$9,'Cost Margin'!$I24),E$6)))))</f>
        <v>0</v>
      </c>
      <c r="F16" s="34">
        <f>IF(OR(F$5="",'Cost Margin'!$A24="",IF('Cost Margin'!$H24="",'Cost Margin'!$B$8,'Cost Margin'!$H24)="",IF('Cost Margin'!$I24="",'Cost Margin'!$B$9,'Cost Margin'!$I24)=""),0,IF(MIN(IF('Cost Margin'!$I24="",'Cost Margin'!$B$9,'Cost Margin'!$I24),F$6)&lt;MAX(IF('Cost Margin'!$H24="",'Cost Margin'!$B$8,'Cost Margin'!$H24),F$5),0,IFERROR(NETWORKDAYS(MAX(IF('Cost Margin'!$H24="",'Cost Margin'!$B$8,'Cost Margin'!$H24),F$5),MIN(IF('Cost Margin'!$I24="",'Cost Margin'!$B$9,'Cost Margin'!$I24),F$6),INDEX(Settings!$J$7:$M$60,0,MATCH('Cost Margin'!$C24,Settings!$J$6:$M$6,0))),NETWORKDAYS(MAX(IF('Cost Margin'!$H24="",'Cost Margin'!$B$8,'Cost Margin'!$H24),F$5),MIN(IF('Cost Margin'!$I24="",'Cost Margin'!$B$9,'Cost Margin'!$I24),F$6)))))</f>
        <v>0</v>
      </c>
      <c r="G16" s="34">
        <f>IF(OR(G$5="",'Cost Margin'!$A24="",IF('Cost Margin'!$H24="",'Cost Margin'!$B$8,'Cost Margin'!$H24)="",IF('Cost Margin'!$I24="",'Cost Margin'!$B$9,'Cost Margin'!$I24)=""),0,IF(MIN(IF('Cost Margin'!$I24="",'Cost Margin'!$B$9,'Cost Margin'!$I24),G$6)&lt;MAX(IF('Cost Margin'!$H24="",'Cost Margin'!$B$8,'Cost Margin'!$H24),G$5),0,IFERROR(NETWORKDAYS(MAX(IF('Cost Margin'!$H24="",'Cost Margin'!$B$8,'Cost Margin'!$H24),G$5),MIN(IF('Cost Margin'!$I24="",'Cost Margin'!$B$9,'Cost Margin'!$I24),G$6),INDEX(Settings!$J$7:$M$60,0,MATCH('Cost Margin'!$C24,Settings!$J$6:$M$6,0))),NETWORKDAYS(MAX(IF('Cost Margin'!$H24="",'Cost Margin'!$B$8,'Cost Margin'!$H24),G$5),MIN(IF('Cost Margin'!$I24="",'Cost Margin'!$B$9,'Cost Margin'!$I24),G$6)))))</f>
        <v>0</v>
      </c>
      <c r="H16" s="34">
        <f>IF(OR(H$5="",'Cost Margin'!$A24="",IF('Cost Margin'!$H24="",'Cost Margin'!$B$8,'Cost Margin'!$H24)="",IF('Cost Margin'!$I24="",'Cost Margin'!$B$9,'Cost Margin'!$I24)=""),0,IF(MIN(IF('Cost Margin'!$I24="",'Cost Margin'!$B$9,'Cost Margin'!$I24),H$6)&lt;MAX(IF('Cost Margin'!$H24="",'Cost Margin'!$B$8,'Cost Margin'!$H24),H$5),0,IFERROR(NETWORKDAYS(MAX(IF('Cost Margin'!$H24="",'Cost Margin'!$B$8,'Cost Margin'!$H24),H$5),MIN(IF('Cost Margin'!$I24="",'Cost Margin'!$B$9,'Cost Margin'!$I24),H$6),INDEX(Settings!$J$7:$M$60,0,MATCH('Cost Margin'!$C24,Settings!$J$6:$M$6,0))),NETWORKDAYS(MAX(IF('Cost Margin'!$H24="",'Cost Margin'!$B$8,'Cost Margin'!$H24),H$5),MIN(IF('Cost Margin'!$I24="",'Cost Margin'!$B$9,'Cost Margin'!$I24),H$6)))))</f>
        <v>0</v>
      </c>
      <c r="I16" s="34">
        <f>IF(OR(I$5="",'Cost Margin'!$A24="",IF('Cost Margin'!$H24="",'Cost Margin'!$B$8,'Cost Margin'!$H24)="",IF('Cost Margin'!$I24="",'Cost Margin'!$B$9,'Cost Margin'!$I24)=""),0,IF(MIN(IF('Cost Margin'!$I24="",'Cost Margin'!$B$9,'Cost Margin'!$I24),I$6)&lt;MAX(IF('Cost Margin'!$H24="",'Cost Margin'!$B$8,'Cost Margin'!$H24),I$5),0,IFERROR(NETWORKDAYS(MAX(IF('Cost Margin'!$H24="",'Cost Margin'!$B$8,'Cost Margin'!$H24),I$5),MIN(IF('Cost Margin'!$I24="",'Cost Margin'!$B$9,'Cost Margin'!$I24),I$6),INDEX(Settings!$J$7:$M$60,0,MATCH('Cost Margin'!$C24,Settings!$J$6:$M$6,0))),NETWORKDAYS(MAX(IF('Cost Margin'!$H24="",'Cost Margin'!$B$8,'Cost Margin'!$H24),I$5),MIN(IF('Cost Margin'!$I24="",'Cost Margin'!$B$9,'Cost Margin'!$I24),I$6)))))</f>
        <v>0</v>
      </c>
      <c r="J16" s="34">
        <f>IF(OR(J$5="",'Cost Margin'!$A24="",IF('Cost Margin'!$H24="",'Cost Margin'!$B$8,'Cost Margin'!$H24)="",IF('Cost Margin'!$I24="",'Cost Margin'!$B$9,'Cost Margin'!$I24)=""),0,IF(MIN(IF('Cost Margin'!$I24="",'Cost Margin'!$B$9,'Cost Margin'!$I24),J$6)&lt;MAX(IF('Cost Margin'!$H24="",'Cost Margin'!$B$8,'Cost Margin'!$H24),J$5),0,IFERROR(NETWORKDAYS(MAX(IF('Cost Margin'!$H24="",'Cost Margin'!$B$8,'Cost Margin'!$H24),J$5),MIN(IF('Cost Margin'!$I24="",'Cost Margin'!$B$9,'Cost Margin'!$I24),J$6),INDEX(Settings!$J$7:$M$60,0,MATCH('Cost Margin'!$C24,Settings!$J$6:$M$6,0))),NETWORKDAYS(MAX(IF('Cost Margin'!$H24="",'Cost Margin'!$B$8,'Cost Margin'!$H24),J$5),MIN(IF('Cost Margin'!$I24="",'Cost Margin'!$B$9,'Cost Margin'!$I24),J$6)))))</f>
        <v>0</v>
      </c>
      <c r="K16" s="34">
        <f>IF(OR(K$5="",'Cost Margin'!$A24="",IF('Cost Margin'!$H24="",'Cost Margin'!$B$8,'Cost Margin'!$H24)="",IF('Cost Margin'!$I24="",'Cost Margin'!$B$9,'Cost Margin'!$I24)=""),0,IF(MIN(IF('Cost Margin'!$I24="",'Cost Margin'!$B$9,'Cost Margin'!$I24),K$6)&lt;MAX(IF('Cost Margin'!$H24="",'Cost Margin'!$B$8,'Cost Margin'!$H24),K$5),0,IFERROR(NETWORKDAYS(MAX(IF('Cost Margin'!$H24="",'Cost Margin'!$B$8,'Cost Margin'!$H24),K$5),MIN(IF('Cost Margin'!$I24="",'Cost Margin'!$B$9,'Cost Margin'!$I24),K$6),INDEX(Settings!$J$7:$M$60,0,MATCH('Cost Margin'!$C24,Settings!$J$6:$M$6,0))),NETWORKDAYS(MAX(IF('Cost Margin'!$H24="",'Cost Margin'!$B$8,'Cost Margin'!$H24),K$5),MIN(IF('Cost Margin'!$I24="",'Cost Margin'!$B$9,'Cost Margin'!$I24),K$6)))))</f>
        <v>0</v>
      </c>
      <c r="L16" s="34">
        <f>IF(OR(L$5="",'Cost Margin'!$A24="",IF('Cost Margin'!$H24="",'Cost Margin'!$B$8,'Cost Margin'!$H24)="",IF('Cost Margin'!$I24="",'Cost Margin'!$B$9,'Cost Margin'!$I24)=""),0,IF(MIN(IF('Cost Margin'!$I24="",'Cost Margin'!$B$9,'Cost Margin'!$I24),L$6)&lt;MAX(IF('Cost Margin'!$H24="",'Cost Margin'!$B$8,'Cost Margin'!$H24),L$5),0,IFERROR(NETWORKDAYS(MAX(IF('Cost Margin'!$H24="",'Cost Margin'!$B$8,'Cost Margin'!$H24),L$5),MIN(IF('Cost Margin'!$I24="",'Cost Margin'!$B$9,'Cost Margin'!$I24),L$6),INDEX(Settings!$J$7:$M$60,0,MATCH('Cost Margin'!$C24,Settings!$J$6:$M$6,0))),NETWORKDAYS(MAX(IF('Cost Margin'!$H24="",'Cost Margin'!$B$8,'Cost Margin'!$H24),L$5),MIN(IF('Cost Margin'!$I24="",'Cost Margin'!$B$9,'Cost Margin'!$I24),L$6)))))</f>
        <v>0</v>
      </c>
      <c r="M16" s="34">
        <f>IF(OR(M$5="",'Cost Margin'!$A24="",IF('Cost Margin'!$H24="",'Cost Margin'!$B$8,'Cost Margin'!$H24)="",IF('Cost Margin'!$I24="",'Cost Margin'!$B$9,'Cost Margin'!$I24)=""),0,IF(MIN(IF('Cost Margin'!$I24="",'Cost Margin'!$B$9,'Cost Margin'!$I24),M$6)&lt;MAX(IF('Cost Margin'!$H24="",'Cost Margin'!$B$8,'Cost Margin'!$H24),M$5),0,IFERROR(NETWORKDAYS(MAX(IF('Cost Margin'!$H24="",'Cost Margin'!$B$8,'Cost Margin'!$H24),M$5),MIN(IF('Cost Margin'!$I24="",'Cost Margin'!$B$9,'Cost Margin'!$I24),M$6),INDEX(Settings!$J$7:$M$60,0,MATCH('Cost Margin'!$C24,Settings!$J$6:$M$6,0))),NETWORKDAYS(MAX(IF('Cost Margin'!$H24="",'Cost Margin'!$B$8,'Cost Margin'!$H24),M$5),MIN(IF('Cost Margin'!$I24="",'Cost Margin'!$B$9,'Cost Margin'!$I24),M$6)))))</f>
        <v>0</v>
      </c>
      <c r="N16" s="34">
        <f>IF(OR(N$5="",'Cost Margin'!$A24="",IF('Cost Margin'!$H24="",'Cost Margin'!$B$8,'Cost Margin'!$H24)="",IF('Cost Margin'!$I24="",'Cost Margin'!$B$9,'Cost Margin'!$I24)=""),0,IF(MIN(IF('Cost Margin'!$I24="",'Cost Margin'!$B$9,'Cost Margin'!$I24),N$6)&lt;MAX(IF('Cost Margin'!$H24="",'Cost Margin'!$B$8,'Cost Margin'!$H24),N$5),0,IFERROR(NETWORKDAYS(MAX(IF('Cost Margin'!$H24="",'Cost Margin'!$B$8,'Cost Margin'!$H24),N$5),MIN(IF('Cost Margin'!$I24="",'Cost Margin'!$B$9,'Cost Margin'!$I24),N$6),INDEX(Settings!$J$7:$M$60,0,MATCH('Cost Margin'!$C24,Settings!$J$6:$M$6,0))),NETWORKDAYS(MAX(IF('Cost Margin'!$H24="",'Cost Margin'!$B$8,'Cost Margin'!$H24),N$5),MIN(IF('Cost Margin'!$I24="",'Cost Margin'!$B$9,'Cost Margin'!$I24),N$6)))))</f>
        <v>0</v>
      </c>
      <c r="O16" s="34">
        <f>IF(OR(O$5="",'Cost Margin'!$A24="",IF('Cost Margin'!$H24="",'Cost Margin'!$B$8,'Cost Margin'!$H24)="",IF('Cost Margin'!$I24="",'Cost Margin'!$B$9,'Cost Margin'!$I24)=""),0,IF(MIN(IF('Cost Margin'!$I24="",'Cost Margin'!$B$9,'Cost Margin'!$I24),O$6)&lt;MAX(IF('Cost Margin'!$H24="",'Cost Margin'!$B$8,'Cost Margin'!$H24),O$5),0,IFERROR(NETWORKDAYS(MAX(IF('Cost Margin'!$H24="",'Cost Margin'!$B$8,'Cost Margin'!$H24),O$5),MIN(IF('Cost Margin'!$I24="",'Cost Margin'!$B$9,'Cost Margin'!$I24),O$6),INDEX(Settings!$J$7:$M$60,0,MATCH('Cost Margin'!$C24,Settings!$J$6:$M$6,0))),NETWORKDAYS(MAX(IF('Cost Margin'!$H24="",'Cost Margin'!$B$8,'Cost Margin'!$H24),O$5),MIN(IF('Cost Margin'!$I24="",'Cost Margin'!$B$9,'Cost Margin'!$I24),O$6)))))</f>
        <v>0</v>
      </c>
      <c r="P16" s="34">
        <f>IF(OR(P$5="",'Cost Margin'!$A24="",IF('Cost Margin'!$H24="",'Cost Margin'!$B$8,'Cost Margin'!$H24)="",IF('Cost Margin'!$I24="",'Cost Margin'!$B$9,'Cost Margin'!$I24)=""),0,IF(MIN(IF('Cost Margin'!$I24="",'Cost Margin'!$B$9,'Cost Margin'!$I24),P$6)&lt;MAX(IF('Cost Margin'!$H24="",'Cost Margin'!$B$8,'Cost Margin'!$H24),P$5),0,IFERROR(NETWORKDAYS(MAX(IF('Cost Margin'!$H24="",'Cost Margin'!$B$8,'Cost Margin'!$H24),P$5),MIN(IF('Cost Margin'!$I24="",'Cost Margin'!$B$9,'Cost Margin'!$I24),P$6),INDEX(Settings!$J$7:$M$60,0,MATCH('Cost Margin'!$C24,Settings!$J$6:$M$6,0))),NETWORKDAYS(MAX(IF('Cost Margin'!$H24="",'Cost Margin'!$B$8,'Cost Margin'!$H24),P$5),MIN(IF('Cost Margin'!$I24="",'Cost Margin'!$B$9,'Cost Margin'!$I24),P$6)))))</f>
        <v>0</v>
      </c>
      <c r="Q16" s="34">
        <f>IF(OR(Q$5="",'Cost Margin'!$A24="",IF('Cost Margin'!$H24="",'Cost Margin'!$B$8,'Cost Margin'!$H24)="",IF('Cost Margin'!$I24="",'Cost Margin'!$B$9,'Cost Margin'!$I24)=""),0,IF(MIN(IF('Cost Margin'!$I24="",'Cost Margin'!$B$9,'Cost Margin'!$I24),Q$6)&lt;MAX(IF('Cost Margin'!$H24="",'Cost Margin'!$B$8,'Cost Margin'!$H24),Q$5),0,IFERROR(NETWORKDAYS(MAX(IF('Cost Margin'!$H24="",'Cost Margin'!$B$8,'Cost Margin'!$H24),Q$5),MIN(IF('Cost Margin'!$I24="",'Cost Margin'!$B$9,'Cost Margin'!$I24),Q$6),INDEX(Settings!$J$7:$M$60,0,MATCH('Cost Margin'!$C24,Settings!$J$6:$M$6,0))),NETWORKDAYS(MAX(IF('Cost Margin'!$H24="",'Cost Margin'!$B$8,'Cost Margin'!$H24),Q$5),MIN(IF('Cost Margin'!$I24="",'Cost Margin'!$B$9,'Cost Margin'!$I24),Q$6)))))</f>
        <v>0</v>
      </c>
      <c r="R16" s="34">
        <f>IF(OR(R$5="",'Cost Margin'!$A24="",IF('Cost Margin'!$H24="",'Cost Margin'!$B$8,'Cost Margin'!$H24)="",IF('Cost Margin'!$I24="",'Cost Margin'!$B$9,'Cost Margin'!$I24)=""),0,IF(MIN(IF('Cost Margin'!$I24="",'Cost Margin'!$B$9,'Cost Margin'!$I24),R$6)&lt;MAX(IF('Cost Margin'!$H24="",'Cost Margin'!$B$8,'Cost Margin'!$H24),R$5),0,IFERROR(NETWORKDAYS(MAX(IF('Cost Margin'!$H24="",'Cost Margin'!$B$8,'Cost Margin'!$H24),R$5),MIN(IF('Cost Margin'!$I24="",'Cost Margin'!$B$9,'Cost Margin'!$I24),R$6),INDEX(Settings!$J$7:$M$60,0,MATCH('Cost Margin'!$C24,Settings!$J$6:$M$6,0))),NETWORKDAYS(MAX(IF('Cost Margin'!$H24="",'Cost Margin'!$B$8,'Cost Margin'!$H24),R$5),MIN(IF('Cost Margin'!$I24="",'Cost Margin'!$B$9,'Cost Margin'!$I24),R$6)))))</f>
        <v>0</v>
      </c>
      <c r="S16" s="34">
        <f>IF(OR(S$5="",'Cost Margin'!$A24="",IF('Cost Margin'!$H24="",'Cost Margin'!$B$8,'Cost Margin'!$H24)="",IF('Cost Margin'!$I24="",'Cost Margin'!$B$9,'Cost Margin'!$I24)=""),0,IF(MIN(IF('Cost Margin'!$I24="",'Cost Margin'!$B$9,'Cost Margin'!$I24),S$6)&lt;MAX(IF('Cost Margin'!$H24="",'Cost Margin'!$B$8,'Cost Margin'!$H24),S$5),0,IFERROR(NETWORKDAYS(MAX(IF('Cost Margin'!$H24="",'Cost Margin'!$B$8,'Cost Margin'!$H24),S$5),MIN(IF('Cost Margin'!$I24="",'Cost Margin'!$B$9,'Cost Margin'!$I24),S$6),INDEX(Settings!$J$7:$M$60,0,MATCH('Cost Margin'!$C24,Settings!$J$6:$M$6,0))),NETWORKDAYS(MAX(IF('Cost Margin'!$H24="",'Cost Margin'!$B$8,'Cost Margin'!$H24),S$5),MIN(IF('Cost Margin'!$I24="",'Cost Margin'!$B$9,'Cost Margin'!$I24),S$6)))))</f>
        <v>0</v>
      </c>
      <c r="T16" s="34">
        <f>IF(OR(T$5="",'Cost Margin'!$A24="",IF('Cost Margin'!$H24="",'Cost Margin'!$B$8,'Cost Margin'!$H24)="",IF('Cost Margin'!$I24="",'Cost Margin'!$B$9,'Cost Margin'!$I24)=""),0,IF(MIN(IF('Cost Margin'!$I24="",'Cost Margin'!$B$9,'Cost Margin'!$I24),T$6)&lt;MAX(IF('Cost Margin'!$H24="",'Cost Margin'!$B$8,'Cost Margin'!$H24),T$5),0,IFERROR(NETWORKDAYS(MAX(IF('Cost Margin'!$H24="",'Cost Margin'!$B$8,'Cost Margin'!$H24),T$5),MIN(IF('Cost Margin'!$I24="",'Cost Margin'!$B$9,'Cost Margin'!$I24),T$6),INDEX(Settings!$J$7:$M$60,0,MATCH('Cost Margin'!$C24,Settings!$J$6:$M$6,0))),NETWORKDAYS(MAX(IF('Cost Margin'!$H24="",'Cost Margin'!$B$8,'Cost Margin'!$H24),T$5),MIN(IF('Cost Margin'!$I24="",'Cost Margin'!$B$9,'Cost Margin'!$I24),T$6)))))</f>
        <v>0</v>
      </c>
      <c r="U16" s="34">
        <f>IF(OR(U$5="",'Cost Margin'!$A24="",IF('Cost Margin'!$H24="",'Cost Margin'!$B$8,'Cost Margin'!$H24)="",IF('Cost Margin'!$I24="",'Cost Margin'!$B$9,'Cost Margin'!$I24)=""),0,IF(MIN(IF('Cost Margin'!$I24="",'Cost Margin'!$B$9,'Cost Margin'!$I24),U$6)&lt;MAX(IF('Cost Margin'!$H24="",'Cost Margin'!$B$8,'Cost Margin'!$H24),U$5),0,IFERROR(NETWORKDAYS(MAX(IF('Cost Margin'!$H24="",'Cost Margin'!$B$8,'Cost Margin'!$H24),U$5),MIN(IF('Cost Margin'!$I24="",'Cost Margin'!$B$9,'Cost Margin'!$I24),U$6),INDEX(Settings!$J$7:$M$60,0,MATCH('Cost Margin'!$C24,Settings!$J$6:$M$6,0))),NETWORKDAYS(MAX(IF('Cost Margin'!$H24="",'Cost Margin'!$B$8,'Cost Margin'!$H24),U$5),MIN(IF('Cost Margin'!$I24="",'Cost Margin'!$B$9,'Cost Margin'!$I24),U$6)))))</f>
        <v>0</v>
      </c>
      <c r="V16" s="34">
        <f>IF(OR(V$5="",'Cost Margin'!$A24="",IF('Cost Margin'!$H24="",'Cost Margin'!$B$8,'Cost Margin'!$H24)="",IF('Cost Margin'!$I24="",'Cost Margin'!$B$9,'Cost Margin'!$I24)=""),0,IF(MIN(IF('Cost Margin'!$I24="",'Cost Margin'!$B$9,'Cost Margin'!$I24),V$6)&lt;MAX(IF('Cost Margin'!$H24="",'Cost Margin'!$B$8,'Cost Margin'!$H24),V$5),0,IFERROR(NETWORKDAYS(MAX(IF('Cost Margin'!$H24="",'Cost Margin'!$B$8,'Cost Margin'!$H24),V$5),MIN(IF('Cost Margin'!$I24="",'Cost Margin'!$B$9,'Cost Margin'!$I24),V$6),INDEX(Settings!$J$7:$M$60,0,MATCH('Cost Margin'!$C24,Settings!$J$6:$M$6,0))),NETWORKDAYS(MAX(IF('Cost Margin'!$H24="",'Cost Margin'!$B$8,'Cost Margin'!$H24),V$5),MIN(IF('Cost Margin'!$I24="",'Cost Margin'!$B$9,'Cost Margin'!$I24),V$6)))))</f>
        <v>0</v>
      </c>
      <c r="W16" s="34">
        <f>IF(OR(W$5="",'Cost Margin'!$A24="",IF('Cost Margin'!$H24="",'Cost Margin'!$B$8,'Cost Margin'!$H24)="",IF('Cost Margin'!$I24="",'Cost Margin'!$B$9,'Cost Margin'!$I24)=""),0,IF(MIN(IF('Cost Margin'!$I24="",'Cost Margin'!$B$9,'Cost Margin'!$I24),W$6)&lt;MAX(IF('Cost Margin'!$H24="",'Cost Margin'!$B$8,'Cost Margin'!$H24),W$5),0,IFERROR(NETWORKDAYS(MAX(IF('Cost Margin'!$H24="",'Cost Margin'!$B$8,'Cost Margin'!$H24),W$5),MIN(IF('Cost Margin'!$I24="",'Cost Margin'!$B$9,'Cost Margin'!$I24),W$6),INDEX(Settings!$J$7:$M$60,0,MATCH('Cost Margin'!$C24,Settings!$J$6:$M$6,0))),NETWORKDAYS(MAX(IF('Cost Margin'!$H24="",'Cost Margin'!$B$8,'Cost Margin'!$H24),W$5),MIN(IF('Cost Margin'!$I24="",'Cost Margin'!$B$9,'Cost Margin'!$I24),W$6)))))</f>
        <v>0</v>
      </c>
      <c r="X16" s="34">
        <f>IF(OR(X$5="",'Cost Margin'!$A24="",IF('Cost Margin'!$H24="",'Cost Margin'!$B$8,'Cost Margin'!$H24)="",IF('Cost Margin'!$I24="",'Cost Margin'!$B$9,'Cost Margin'!$I24)=""),0,IF(MIN(IF('Cost Margin'!$I24="",'Cost Margin'!$B$9,'Cost Margin'!$I24),X$6)&lt;MAX(IF('Cost Margin'!$H24="",'Cost Margin'!$B$8,'Cost Margin'!$H24),X$5),0,IFERROR(NETWORKDAYS(MAX(IF('Cost Margin'!$H24="",'Cost Margin'!$B$8,'Cost Margin'!$H24),X$5),MIN(IF('Cost Margin'!$I24="",'Cost Margin'!$B$9,'Cost Margin'!$I24),X$6),INDEX(Settings!$J$7:$M$60,0,MATCH('Cost Margin'!$C24,Settings!$J$6:$M$6,0))),NETWORKDAYS(MAX(IF('Cost Margin'!$H24="",'Cost Margin'!$B$8,'Cost Margin'!$H24),X$5),MIN(IF('Cost Margin'!$I24="",'Cost Margin'!$B$9,'Cost Margin'!$I24),X$6)))))</f>
        <v>0</v>
      </c>
      <c r="Y16" s="34">
        <f>IF(OR(Y$5="",'Cost Margin'!$A24="",IF('Cost Margin'!$H24="",'Cost Margin'!$B$8,'Cost Margin'!$H24)="",IF('Cost Margin'!$I24="",'Cost Margin'!$B$9,'Cost Margin'!$I24)=""),0,IF(MIN(IF('Cost Margin'!$I24="",'Cost Margin'!$B$9,'Cost Margin'!$I24),Y$6)&lt;MAX(IF('Cost Margin'!$H24="",'Cost Margin'!$B$8,'Cost Margin'!$H24),Y$5),0,IFERROR(NETWORKDAYS(MAX(IF('Cost Margin'!$H24="",'Cost Margin'!$B$8,'Cost Margin'!$H24),Y$5),MIN(IF('Cost Margin'!$I24="",'Cost Margin'!$B$9,'Cost Margin'!$I24),Y$6),INDEX(Settings!$J$7:$M$60,0,MATCH('Cost Margin'!$C24,Settings!$J$6:$M$6,0))),NETWORKDAYS(MAX(IF('Cost Margin'!$H24="",'Cost Margin'!$B$8,'Cost Margin'!$H24),Y$5),MIN(IF('Cost Margin'!$I24="",'Cost Margin'!$B$9,'Cost Margin'!$I24),Y$6)))))</f>
        <v>0</v>
      </c>
      <c r="Z16" s="34">
        <f>IF(OR(Z$5="",'Cost Margin'!$A24="",IF('Cost Margin'!$H24="",'Cost Margin'!$B$8,'Cost Margin'!$H24)="",IF('Cost Margin'!$I24="",'Cost Margin'!$B$9,'Cost Margin'!$I24)=""),0,IF(MIN(IF('Cost Margin'!$I24="",'Cost Margin'!$B$9,'Cost Margin'!$I24),Z$6)&lt;MAX(IF('Cost Margin'!$H24="",'Cost Margin'!$B$8,'Cost Margin'!$H24),Z$5),0,IFERROR(NETWORKDAYS(MAX(IF('Cost Margin'!$H24="",'Cost Margin'!$B$8,'Cost Margin'!$H24),Z$5),MIN(IF('Cost Margin'!$I24="",'Cost Margin'!$B$9,'Cost Margin'!$I24),Z$6),INDEX(Settings!$J$7:$M$60,0,MATCH('Cost Margin'!$C24,Settings!$J$6:$M$6,0))),NETWORKDAYS(MAX(IF('Cost Margin'!$H24="",'Cost Margin'!$B$8,'Cost Margin'!$H24),Z$5),MIN(IF('Cost Margin'!$I24="",'Cost Margin'!$B$9,'Cost Margin'!$I24),Z$6)))))</f>
        <v>0</v>
      </c>
    </row>
    <row r="17" spans="1:26" x14ac:dyDescent="0.2">
      <c r="A17">
        <v>9</v>
      </c>
      <c r="B17" s="33" t="str">
        <f>IF('Cost Margin'!A25="","",'Cost Margin'!A25)</f>
        <v/>
      </c>
      <c r="C17" s="34">
        <f>IF(OR(C$5="",'Cost Margin'!$A25="",IF('Cost Margin'!$H25="",'Cost Margin'!$B$8,'Cost Margin'!$H25)="",IF('Cost Margin'!$I25="",'Cost Margin'!$B$9,'Cost Margin'!$I25)=""),0,IF(MIN(IF('Cost Margin'!$I25="",'Cost Margin'!$B$9,'Cost Margin'!$I25),C$6)&lt;MAX(IF('Cost Margin'!$H25="",'Cost Margin'!$B$8,'Cost Margin'!$H25),C$5),0,IFERROR(NETWORKDAYS(MAX(IF('Cost Margin'!$H25="",'Cost Margin'!$B$8,'Cost Margin'!$H25),C$5),MIN(IF('Cost Margin'!$I25="",'Cost Margin'!$B$9,'Cost Margin'!$I25),C$6),INDEX(Settings!$J$7:$M$60,0,MATCH('Cost Margin'!$C25,Settings!$J$6:$M$6,0))),NETWORKDAYS(MAX(IF('Cost Margin'!$H25="",'Cost Margin'!$B$8,'Cost Margin'!$H25),C$5),MIN(IF('Cost Margin'!$I25="",'Cost Margin'!$B$9,'Cost Margin'!$I25),C$6)))))</f>
        <v>0</v>
      </c>
      <c r="D17" s="34">
        <f>IF(OR(D$5="",'Cost Margin'!$A25="",IF('Cost Margin'!$H25="",'Cost Margin'!$B$8,'Cost Margin'!$H25)="",IF('Cost Margin'!$I25="",'Cost Margin'!$B$9,'Cost Margin'!$I25)=""),0,IF(MIN(IF('Cost Margin'!$I25="",'Cost Margin'!$B$9,'Cost Margin'!$I25),D$6)&lt;MAX(IF('Cost Margin'!$H25="",'Cost Margin'!$B$8,'Cost Margin'!$H25),D$5),0,IFERROR(NETWORKDAYS(MAX(IF('Cost Margin'!$H25="",'Cost Margin'!$B$8,'Cost Margin'!$H25),D$5),MIN(IF('Cost Margin'!$I25="",'Cost Margin'!$B$9,'Cost Margin'!$I25),D$6),INDEX(Settings!$J$7:$M$60,0,MATCH('Cost Margin'!$C25,Settings!$J$6:$M$6,0))),NETWORKDAYS(MAX(IF('Cost Margin'!$H25="",'Cost Margin'!$B$8,'Cost Margin'!$H25),D$5),MIN(IF('Cost Margin'!$I25="",'Cost Margin'!$B$9,'Cost Margin'!$I25),D$6)))))</f>
        <v>0</v>
      </c>
      <c r="E17" s="34">
        <f>IF(OR(E$5="",'Cost Margin'!$A25="",IF('Cost Margin'!$H25="",'Cost Margin'!$B$8,'Cost Margin'!$H25)="",IF('Cost Margin'!$I25="",'Cost Margin'!$B$9,'Cost Margin'!$I25)=""),0,IF(MIN(IF('Cost Margin'!$I25="",'Cost Margin'!$B$9,'Cost Margin'!$I25),E$6)&lt;MAX(IF('Cost Margin'!$H25="",'Cost Margin'!$B$8,'Cost Margin'!$H25),E$5),0,IFERROR(NETWORKDAYS(MAX(IF('Cost Margin'!$H25="",'Cost Margin'!$B$8,'Cost Margin'!$H25),E$5),MIN(IF('Cost Margin'!$I25="",'Cost Margin'!$B$9,'Cost Margin'!$I25),E$6),INDEX(Settings!$J$7:$M$60,0,MATCH('Cost Margin'!$C25,Settings!$J$6:$M$6,0))),NETWORKDAYS(MAX(IF('Cost Margin'!$H25="",'Cost Margin'!$B$8,'Cost Margin'!$H25),E$5),MIN(IF('Cost Margin'!$I25="",'Cost Margin'!$B$9,'Cost Margin'!$I25),E$6)))))</f>
        <v>0</v>
      </c>
      <c r="F17" s="34">
        <f>IF(OR(F$5="",'Cost Margin'!$A25="",IF('Cost Margin'!$H25="",'Cost Margin'!$B$8,'Cost Margin'!$H25)="",IF('Cost Margin'!$I25="",'Cost Margin'!$B$9,'Cost Margin'!$I25)=""),0,IF(MIN(IF('Cost Margin'!$I25="",'Cost Margin'!$B$9,'Cost Margin'!$I25),F$6)&lt;MAX(IF('Cost Margin'!$H25="",'Cost Margin'!$B$8,'Cost Margin'!$H25),F$5),0,IFERROR(NETWORKDAYS(MAX(IF('Cost Margin'!$H25="",'Cost Margin'!$B$8,'Cost Margin'!$H25),F$5),MIN(IF('Cost Margin'!$I25="",'Cost Margin'!$B$9,'Cost Margin'!$I25),F$6),INDEX(Settings!$J$7:$M$60,0,MATCH('Cost Margin'!$C25,Settings!$J$6:$M$6,0))),NETWORKDAYS(MAX(IF('Cost Margin'!$H25="",'Cost Margin'!$B$8,'Cost Margin'!$H25),F$5),MIN(IF('Cost Margin'!$I25="",'Cost Margin'!$B$9,'Cost Margin'!$I25),F$6)))))</f>
        <v>0</v>
      </c>
      <c r="G17" s="34">
        <f>IF(OR(G$5="",'Cost Margin'!$A25="",IF('Cost Margin'!$H25="",'Cost Margin'!$B$8,'Cost Margin'!$H25)="",IF('Cost Margin'!$I25="",'Cost Margin'!$B$9,'Cost Margin'!$I25)=""),0,IF(MIN(IF('Cost Margin'!$I25="",'Cost Margin'!$B$9,'Cost Margin'!$I25),G$6)&lt;MAX(IF('Cost Margin'!$H25="",'Cost Margin'!$B$8,'Cost Margin'!$H25),G$5),0,IFERROR(NETWORKDAYS(MAX(IF('Cost Margin'!$H25="",'Cost Margin'!$B$8,'Cost Margin'!$H25),G$5),MIN(IF('Cost Margin'!$I25="",'Cost Margin'!$B$9,'Cost Margin'!$I25),G$6),INDEX(Settings!$J$7:$M$60,0,MATCH('Cost Margin'!$C25,Settings!$J$6:$M$6,0))),NETWORKDAYS(MAX(IF('Cost Margin'!$H25="",'Cost Margin'!$B$8,'Cost Margin'!$H25),G$5),MIN(IF('Cost Margin'!$I25="",'Cost Margin'!$B$9,'Cost Margin'!$I25),G$6)))))</f>
        <v>0</v>
      </c>
      <c r="H17" s="34">
        <f>IF(OR(H$5="",'Cost Margin'!$A25="",IF('Cost Margin'!$H25="",'Cost Margin'!$B$8,'Cost Margin'!$H25)="",IF('Cost Margin'!$I25="",'Cost Margin'!$B$9,'Cost Margin'!$I25)=""),0,IF(MIN(IF('Cost Margin'!$I25="",'Cost Margin'!$B$9,'Cost Margin'!$I25),H$6)&lt;MAX(IF('Cost Margin'!$H25="",'Cost Margin'!$B$8,'Cost Margin'!$H25),H$5),0,IFERROR(NETWORKDAYS(MAX(IF('Cost Margin'!$H25="",'Cost Margin'!$B$8,'Cost Margin'!$H25),H$5),MIN(IF('Cost Margin'!$I25="",'Cost Margin'!$B$9,'Cost Margin'!$I25),H$6),INDEX(Settings!$J$7:$M$60,0,MATCH('Cost Margin'!$C25,Settings!$J$6:$M$6,0))),NETWORKDAYS(MAX(IF('Cost Margin'!$H25="",'Cost Margin'!$B$8,'Cost Margin'!$H25),H$5),MIN(IF('Cost Margin'!$I25="",'Cost Margin'!$B$9,'Cost Margin'!$I25),H$6)))))</f>
        <v>0</v>
      </c>
      <c r="I17" s="34">
        <f>IF(OR(I$5="",'Cost Margin'!$A25="",IF('Cost Margin'!$H25="",'Cost Margin'!$B$8,'Cost Margin'!$H25)="",IF('Cost Margin'!$I25="",'Cost Margin'!$B$9,'Cost Margin'!$I25)=""),0,IF(MIN(IF('Cost Margin'!$I25="",'Cost Margin'!$B$9,'Cost Margin'!$I25),I$6)&lt;MAX(IF('Cost Margin'!$H25="",'Cost Margin'!$B$8,'Cost Margin'!$H25),I$5),0,IFERROR(NETWORKDAYS(MAX(IF('Cost Margin'!$H25="",'Cost Margin'!$B$8,'Cost Margin'!$H25),I$5),MIN(IF('Cost Margin'!$I25="",'Cost Margin'!$B$9,'Cost Margin'!$I25),I$6),INDEX(Settings!$J$7:$M$60,0,MATCH('Cost Margin'!$C25,Settings!$J$6:$M$6,0))),NETWORKDAYS(MAX(IF('Cost Margin'!$H25="",'Cost Margin'!$B$8,'Cost Margin'!$H25),I$5),MIN(IF('Cost Margin'!$I25="",'Cost Margin'!$B$9,'Cost Margin'!$I25),I$6)))))</f>
        <v>0</v>
      </c>
      <c r="J17" s="34">
        <f>IF(OR(J$5="",'Cost Margin'!$A25="",IF('Cost Margin'!$H25="",'Cost Margin'!$B$8,'Cost Margin'!$H25)="",IF('Cost Margin'!$I25="",'Cost Margin'!$B$9,'Cost Margin'!$I25)=""),0,IF(MIN(IF('Cost Margin'!$I25="",'Cost Margin'!$B$9,'Cost Margin'!$I25),J$6)&lt;MAX(IF('Cost Margin'!$H25="",'Cost Margin'!$B$8,'Cost Margin'!$H25),J$5),0,IFERROR(NETWORKDAYS(MAX(IF('Cost Margin'!$H25="",'Cost Margin'!$B$8,'Cost Margin'!$H25),J$5),MIN(IF('Cost Margin'!$I25="",'Cost Margin'!$B$9,'Cost Margin'!$I25),J$6),INDEX(Settings!$J$7:$M$60,0,MATCH('Cost Margin'!$C25,Settings!$J$6:$M$6,0))),NETWORKDAYS(MAX(IF('Cost Margin'!$H25="",'Cost Margin'!$B$8,'Cost Margin'!$H25),J$5),MIN(IF('Cost Margin'!$I25="",'Cost Margin'!$B$9,'Cost Margin'!$I25),J$6)))))</f>
        <v>0</v>
      </c>
      <c r="K17" s="34">
        <f>IF(OR(K$5="",'Cost Margin'!$A25="",IF('Cost Margin'!$H25="",'Cost Margin'!$B$8,'Cost Margin'!$H25)="",IF('Cost Margin'!$I25="",'Cost Margin'!$B$9,'Cost Margin'!$I25)=""),0,IF(MIN(IF('Cost Margin'!$I25="",'Cost Margin'!$B$9,'Cost Margin'!$I25),K$6)&lt;MAX(IF('Cost Margin'!$H25="",'Cost Margin'!$B$8,'Cost Margin'!$H25),K$5),0,IFERROR(NETWORKDAYS(MAX(IF('Cost Margin'!$H25="",'Cost Margin'!$B$8,'Cost Margin'!$H25),K$5),MIN(IF('Cost Margin'!$I25="",'Cost Margin'!$B$9,'Cost Margin'!$I25),K$6),INDEX(Settings!$J$7:$M$60,0,MATCH('Cost Margin'!$C25,Settings!$J$6:$M$6,0))),NETWORKDAYS(MAX(IF('Cost Margin'!$H25="",'Cost Margin'!$B$8,'Cost Margin'!$H25),K$5),MIN(IF('Cost Margin'!$I25="",'Cost Margin'!$B$9,'Cost Margin'!$I25),K$6)))))</f>
        <v>0</v>
      </c>
      <c r="L17" s="34">
        <f>IF(OR(L$5="",'Cost Margin'!$A25="",IF('Cost Margin'!$H25="",'Cost Margin'!$B$8,'Cost Margin'!$H25)="",IF('Cost Margin'!$I25="",'Cost Margin'!$B$9,'Cost Margin'!$I25)=""),0,IF(MIN(IF('Cost Margin'!$I25="",'Cost Margin'!$B$9,'Cost Margin'!$I25),L$6)&lt;MAX(IF('Cost Margin'!$H25="",'Cost Margin'!$B$8,'Cost Margin'!$H25),L$5),0,IFERROR(NETWORKDAYS(MAX(IF('Cost Margin'!$H25="",'Cost Margin'!$B$8,'Cost Margin'!$H25),L$5),MIN(IF('Cost Margin'!$I25="",'Cost Margin'!$B$9,'Cost Margin'!$I25),L$6),INDEX(Settings!$J$7:$M$60,0,MATCH('Cost Margin'!$C25,Settings!$J$6:$M$6,0))),NETWORKDAYS(MAX(IF('Cost Margin'!$H25="",'Cost Margin'!$B$8,'Cost Margin'!$H25),L$5),MIN(IF('Cost Margin'!$I25="",'Cost Margin'!$B$9,'Cost Margin'!$I25),L$6)))))</f>
        <v>0</v>
      </c>
      <c r="M17" s="34">
        <f>IF(OR(M$5="",'Cost Margin'!$A25="",IF('Cost Margin'!$H25="",'Cost Margin'!$B$8,'Cost Margin'!$H25)="",IF('Cost Margin'!$I25="",'Cost Margin'!$B$9,'Cost Margin'!$I25)=""),0,IF(MIN(IF('Cost Margin'!$I25="",'Cost Margin'!$B$9,'Cost Margin'!$I25),M$6)&lt;MAX(IF('Cost Margin'!$H25="",'Cost Margin'!$B$8,'Cost Margin'!$H25),M$5),0,IFERROR(NETWORKDAYS(MAX(IF('Cost Margin'!$H25="",'Cost Margin'!$B$8,'Cost Margin'!$H25),M$5),MIN(IF('Cost Margin'!$I25="",'Cost Margin'!$B$9,'Cost Margin'!$I25),M$6),INDEX(Settings!$J$7:$M$60,0,MATCH('Cost Margin'!$C25,Settings!$J$6:$M$6,0))),NETWORKDAYS(MAX(IF('Cost Margin'!$H25="",'Cost Margin'!$B$8,'Cost Margin'!$H25),M$5),MIN(IF('Cost Margin'!$I25="",'Cost Margin'!$B$9,'Cost Margin'!$I25),M$6)))))</f>
        <v>0</v>
      </c>
      <c r="N17" s="34">
        <f>IF(OR(N$5="",'Cost Margin'!$A25="",IF('Cost Margin'!$H25="",'Cost Margin'!$B$8,'Cost Margin'!$H25)="",IF('Cost Margin'!$I25="",'Cost Margin'!$B$9,'Cost Margin'!$I25)=""),0,IF(MIN(IF('Cost Margin'!$I25="",'Cost Margin'!$B$9,'Cost Margin'!$I25),N$6)&lt;MAX(IF('Cost Margin'!$H25="",'Cost Margin'!$B$8,'Cost Margin'!$H25),N$5),0,IFERROR(NETWORKDAYS(MAX(IF('Cost Margin'!$H25="",'Cost Margin'!$B$8,'Cost Margin'!$H25),N$5),MIN(IF('Cost Margin'!$I25="",'Cost Margin'!$B$9,'Cost Margin'!$I25),N$6),INDEX(Settings!$J$7:$M$60,0,MATCH('Cost Margin'!$C25,Settings!$J$6:$M$6,0))),NETWORKDAYS(MAX(IF('Cost Margin'!$H25="",'Cost Margin'!$B$8,'Cost Margin'!$H25),N$5),MIN(IF('Cost Margin'!$I25="",'Cost Margin'!$B$9,'Cost Margin'!$I25),N$6)))))</f>
        <v>0</v>
      </c>
      <c r="O17" s="34">
        <f>IF(OR(O$5="",'Cost Margin'!$A25="",IF('Cost Margin'!$H25="",'Cost Margin'!$B$8,'Cost Margin'!$H25)="",IF('Cost Margin'!$I25="",'Cost Margin'!$B$9,'Cost Margin'!$I25)=""),0,IF(MIN(IF('Cost Margin'!$I25="",'Cost Margin'!$B$9,'Cost Margin'!$I25),O$6)&lt;MAX(IF('Cost Margin'!$H25="",'Cost Margin'!$B$8,'Cost Margin'!$H25),O$5),0,IFERROR(NETWORKDAYS(MAX(IF('Cost Margin'!$H25="",'Cost Margin'!$B$8,'Cost Margin'!$H25),O$5),MIN(IF('Cost Margin'!$I25="",'Cost Margin'!$B$9,'Cost Margin'!$I25),O$6),INDEX(Settings!$J$7:$M$60,0,MATCH('Cost Margin'!$C25,Settings!$J$6:$M$6,0))),NETWORKDAYS(MAX(IF('Cost Margin'!$H25="",'Cost Margin'!$B$8,'Cost Margin'!$H25),O$5),MIN(IF('Cost Margin'!$I25="",'Cost Margin'!$B$9,'Cost Margin'!$I25),O$6)))))</f>
        <v>0</v>
      </c>
      <c r="P17" s="34">
        <f>IF(OR(P$5="",'Cost Margin'!$A25="",IF('Cost Margin'!$H25="",'Cost Margin'!$B$8,'Cost Margin'!$H25)="",IF('Cost Margin'!$I25="",'Cost Margin'!$B$9,'Cost Margin'!$I25)=""),0,IF(MIN(IF('Cost Margin'!$I25="",'Cost Margin'!$B$9,'Cost Margin'!$I25),P$6)&lt;MAX(IF('Cost Margin'!$H25="",'Cost Margin'!$B$8,'Cost Margin'!$H25),P$5),0,IFERROR(NETWORKDAYS(MAX(IF('Cost Margin'!$H25="",'Cost Margin'!$B$8,'Cost Margin'!$H25),P$5),MIN(IF('Cost Margin'!$I25="",'Cost Margin'!$B$9,'Cost Margin'!$I25),P$6),INDEX(Settings!$J$7:$M$60,0,MATCH('Cost Margin'!$C25,Settings!$J$6:$M$6,0))),NETWORKDAYS(MAX(IF('Cost Margin'!$H25="",'Cost Margin'!$B$8,'Cost Margin'!$H25),P$5),MIN(IF('Cost Margin'!$I25="",'Cost Margin'!$B$9,'Cost Margin'!$I25),P$6)))))</f>
        <v>0</v>
      </c>
      <c r="Q17" s="34">
        <f>IF(OR(Q$5="",'Cost Margin'!$A25="",IF('Cost Margin'!$H25="",'Cost Margin'!$B$8,'Cost Margin'!$H25)="",IF('Cost Margin'!$I25="",'Cost Margin'!$B$9,'Cost Margin'!$I25)=""),0,IF(MIN(IF('Cost Margin'!$I25="",'Cost Margin'!$B$9,'Cost Margin'!$I25),Q$6)&lt;MAX(IF('Cost Margin'!$H25="",'Cost Margin'!$B$8,'Cost Margin'!$H25),Q$5),0,IFERROR(NETWORKDAYS(MAX(IF('Cost Margin'!$H25="",'Cost Margin'!$B$8,'Cost Margin'!$H25),Q$5),MIN(IF('Cost Margin'!$I25="",'Cost Margin'!$B$9,'Cost Margin'!$I25),Q$6),INDEX(Settings!$J$7:$M$60,0,MATCH('Cost Margin'!$C25,Settings!$J$6:$M$6,0))),NETWORKDAYS(MAX(IF('Cost Margin'!$H25="",'Cost Margin'!$B$8,'Cost Margin'!$H25),Q$5),MIN(IF('Cost Margin'!$I25="",'Cost Margin'!$B$9,'Cost Margin'!$I25),Q$6)))))</f>
        <v>0</v>
      </c>
      <c r="R17" s="34">
        <f>IF(OR(R$5="",'Cost Margin'!$A25="",IF('Cost Margin'!$H25="",'Cost Margin'!$B$8,'Cost Margin'!$H25)="",IF('Cost Margin'!$I25="",'Cost Margin'!$B$9,'Cost Margin'!$I25)=""),0,IF(MIN(IF('Cost Margin'!$I25="",'Cost Margin'!$B$9,'Cost Margin'!$I25),R$6)&lt;MAX(IF('Cost Margin'!$H25="",'Cost Margin'!$B$8,'Cost Margin'!$H25),R$5),0,IFERROR(NETWORKDAYS(MAX(IF('Cost Margin'!$H25="",'Cost Margin'!$B$8,'Cost Margin'!$H25),R$5),MIN(IF('Cost Margin'!$I25="",'Cost Margin'!$B$9,'Cost Margin'!$I25),R$6),INDEX(Settings!$J$7:$M$60,0,MATCH('Cost Margin'!$C25,Settings!$J$6:$M$6,0))),NETWORKDAYS(MAX(IF('Cost Margin'!$H25="",'Cost Margin'!$B$8,'Cost Margin'!$H25),R$5),MIN(IF('Cost Margin'!$I25="",'Cost Margin'!$B$9,'Cost Margin'!$I25),R$6)))))</f>
        <v>0</v>
      </c>
      <c r="S17" s="34">
        <f>IF(OR(S$5="",'Cost Margin'!$A25="",IF('Cost Margin'!$H25="",'Cost Margin'!$B$8,'Cost Margin'!$H25)="",IF('Cost Margin'!$I25="",'Cost Margin'!$B$9,'Cost Margin'!$I25)=""),0,IF(MIN(IF('Cost Margin'!$I25="",'Cost Margin'!$B$9,'Cost Margin'!$I25),S$6)&lt;MAX(IF('Cost Margin'!$H25="",'Cost Margin'!$B$8,'Cost Margin'!$H25),S$5),0,IFERROR(NETWORKDAYS(MAX(IF('Cost Margin'!$H25="",'Cost Margin'!$B$8,'Cost Margin'!$H25),S$5),MIN(IF('Cost Margin'!$I25="",'Cost Margin'!$B$9,'Cost Margin'!$I25),S$6),INDEX(Settings!$J$7:$M$60,0,MATCH('Cost Margin'!$C25,Settings!$J$6:$M$6,0))),NETWORKDAYS(MAX(IF('Cost Margin'!$H25="",'Cost Margin'!$B$8,'Cost Margin'!$H25),S$5),MIN(IF('Cost Margin'!$I25="",'Cost Margin'!$B$9,'Cost Margin'!$I25),S$6)))))</f>
        <v>0</v>
      </c>
      <c r="T17" s="34">
        <f>IF(OR(T$5="",'Cost Margin'!$A25="",IF('Cost Margin'!$H25="",'Cost Margin'!$B$8,'Cost Margin'!$H25)="",IF('Cost Margin'!$I25="",'Cost Margin'!$B$9,'Cost Margin'!$I25)=""),0,IF(MIN(IF('Cost Margin'!$I25="",'Cost Margin'!$B$9,'Cost Margin'!$I25),T$6)&lt;MAX(IF('Cost Margin'!$H25="",'Cost Margin'!$B$8,'Cost Margin'!$H25),T$5),0,IFERROR(NETWORKDAYS(MAX(IF('Cost Margin'!$H25="",'Cost Margin'!$B$8,'Cost Margin'!$H25),T$5),MIN(IF('Cost Margin'!$I25="",'Cost Margin'!$B$9,'Cost Margin'!$I25),T$6),INDEX(Settings!$J$7:$M$60,0,MATCH('Cost Margin'!$C25,Settings!$J$6:$M$6,0))),NETWORKDAYS(MAX(IF('Cost Margin'!$H25="",'Cost Margin'!$B$8,'Cost Margin'!$H25),T$5),MIN(IF('Cost Margin'!$I25="",'Cost Margin'!$B$9,'Cost Margin'!$I25),T$6)))))</f>
        <v>0</v>
      </c>
      <c r="U17" s="34">
        <f>IF(OR(U$5="",'Cost Margin'!$A25="",IF('Cost Margin'!$H25="",'Cost Margin'!$B$8,'Cost Margin'!$H25)="",IF('Cost Margin'!$I25="",'Cost Margin'!$B$9,'Cost Margin'!$I25)=""),0,IF(MIN(IF('Cost Margin'!$I25="",'Cost Margin'!$B$9,'Cost Margin'!$I25),U$6)&lt;MAX(IF('Cost Margin'!$H25="",'Cost Margin'!$B$8,'Cost Margin'!$H25),U$5),0,IFERROR(NETWORKDAYS(MAX(IF('Cost Margin'!$H25="",'Cost Margin'!$B$8,'Cost Margin'!$H25),U$5),MIN(IF('Cost Margin'!$I25="",'Cost Margin'!$B$9,'Cost Margin'!$I25),U$6),INDEX(Settings!$J$7:$M$60,0,MATCH('Cost Margin'!$C25,Settings!$J$6:$M$6,0))),NETWORKDAYS(MAX(IF('Cost Margin'!$H25="",'Cost Margin'!$B$8,'Cost Margin'!$H25),U$5),MIN(IF('Cost Margin'!$I25="",'Cost Margin'!$B$9,'Cost Margin'!$I25),U$6)))))</f>
        <v>0</v>
      </c>
      <c r="V17" s="34">
        <f>IF(OR(V$5="",'Cost Margin'!$A25="",IF('Cost Margin'!$H25="",'Cost Margin'!$B$8,'Cost Margin'!$H25)="",IF('Cost Margin'!$I25="",'Cost Margin'!$B$9,'Cost Margin'!$I25)=""),0,IF(MIN(IF('Cost Margin'!$I25="",'Cost Margin'!$B$9,'Cost Margin'!$I25),V$6)&lt;MAX(IF('Cost Margin'!$H25="",'Cost Margin'!$B$8,'Cost Margin'!$H25),V$5),0,IFERROR(NETWORKDAYS(MAX(IF('Cost Margin'!$H25="",'Cost Margin'!$B$8,'Cost Margin'!$H25),V$5),MIN(IF('Cost Margin'!$I25="",'Cost Margin'!$B$9,'Cost Margin'!$I25),V$6),INDEX(Settings!$J$7:$M$60,0,MATCH('Cost Margin'!$C25,Settings!$J$6:$M$6,0))),NETWORKDAYS(MAX(IF('Cost Margin'!$H25="",'Cost Margin'!$B$8,'Cost Margin'!$H25),V$5),MIN(IF('Cost Margin'!$I25="",'Cost Margin'!$B$9,'Cost Margin'!$I25),V$6)))))</f>
        <v>0</v>
      </c>
      <c r="W17" s="34">
        <f>IF(OR(W$5="",'Cost Margin'!$A25="",IF('Cost Margin'!$H25="",'Cost Margin'!$B$8,'Cost Margin'!$H25)="",IF('Cost Margin'!$I25="",'Cost Margin'!$B$9,'Cost Margin'!$I25)=""),0,IF(MIN(IF('Cost Margin'!$I25="",'Cost Margin'!$B$9,'Cost Margin'!$I25),W$6)&lt;MAX(IF('Cost Margin'!$H25="",'Cost Margin'!$B$8,'Cost Margin'!$H25),W$5),0,IFERROR(NETWORKDAYS(MAX(IF('Cost Margin'!$H25="",'Cost Margin'!$B$8,'Cost Margin'!$H25),W$5),MIN(IF('Cost Margin'!$I25="",'Cost Margin'!$B$9,'Cost Margin'!$I25),W$6),INDEX(Settings!$J$7:$M$60,0,MATCH('Cost Margin'!$C25,Settings!$J$6:$M$6,0))),NETWORKDAYS(MAX(IF('Cost Margin'!$H25="",'Cost Margin'!$B$8,'Cost Margin'!$H25),W$5),MIN(IF('Cost Margin'!$I25="",'Cost Margin'!$B$9,'Cost Margin'!$I25),W$6)))))</f>
        <v>0</v>
      </c>
      <c r="X17" s="34">
        <f>IF(OR(X$5="",'Cost Margin'!$A25="",IF('Cost Margin'!$H25="",'Cost Margin'!$B$8,'Cost Margin'!$H25)="",IF('Cost Margin'!$I25="",'Cost Margin'!$B$9,'Cost Margin'!$I25)=""),0,IF(MIN(IF('Cost Margin'!$I25="",'Cost Margin'!$B$9,'Cost Margin'!$I25),X$6)&lt;MAX(IF('Cost Margin'!$H25="",'Cost Margin'!$B$8,'Cost Margin'!$H25),X$5),0,IFERROR(NETWORKDAYS(MAX(IF('Cost Margin'!$H25="",'Cost Margin'!$B$8,'Cost Margin'!$H25),X$5),MIN(IF('Cost Margin'!$I25="",'Cost Margin'!$B$9,'Cost Margin'!$I25),X$6),INDEX(Settings!$J$7:$M$60,0,MATCH('Cost Margin'!$C25,Settings!$J$6:$M$6,0))),NETWORKDAYS(MAX(IF('Cost Margin'!$H25="",'Cost Margin'!$B$8,'Cost Margin'!$H25),X$5),MIN(IF('Cost Margin'!$I25="",'Cost Margin'!$B$9,'Cost Margin'!$I25),X$6)))))</f>
        <v>0</v>
      </c>
      <c r="Y17" s="34">
        <f>IF(OR(Y$5="",'Cost Margin'!$A25="",IF('Cost Margin'!$H25="",'Cost Margin'!$B$8,'Cost Margin'!$H25)="",IF('Cost Margin'!$I25="",'Cost Margin'!$B$9,'Cost Margin'!$I25)=""),0,IF(MIN(IF('Cost Margin'!$I25="",'Cost Margin'!$B$9,'Cost Margin'!$I25),Y$6)&lt;MAX(IF('Cost Margin'!$H25="",'Cost Margin'!$B$8,'Cost Margin'!$H25),Y$5),0,IFERROR(NETWORKDAYS(MAX(IF('Cost Margin'!$H25="",'Cost Margin'!$B$8,'Cost Margin'!$H25),Y$5),MIN(IF('Cost Margin'!$I25="",'Cost Margin'!$B$9,'Cost Margin'!$I25),Y$6),INDEX(Settings!$J$7:$M$60,0,MATCH('Cost Margin'!$C25,Settings!$J$6:$M$6,0))),NETWORKDAYS(MAX(IF('Cost Margin'!$H25="",'Cost Margin'!$B$8,'Cost Margin'!$H25),Y$5),MIN(IF('Cost Margin'!$I25="",'Cost Margin'!$B$9,'Cost Margin'!$I25),Y$6)))))</f>
        <v>0</v>
      </c>
      <c r="Z17" s="34">
        <f>IF(OR(Z$5="",'Cost Margin'!$A25="",IF('Cost Margin'!$H25="",'Cost Margin'!$B$8,'Cost Margin'!$H25)="",IF('Cost Margin'!$I25="",'Cost Margin'!$B$9,'Cost Margin'!$I25)=""),0,IF(MIN(IF('Cost Margin'!$I25="",'Cost Margin'!$B$9,'Cost Margin'!$I25),Z$6)&lt;MAX(IF('Cost Margin'!$H25="",'Cost Margin'!$B$8,'Cost Margin'!$H25),Z$5),0,IFERROR(NETWORKDAYS(MAX(IF('Cost Margin'!$H25="",'Cost Margin'!$B$8,'Cost Margin'!$H25),Z$5),MIN(IF('Cost Margin'!$I25="",'Cost Margin'!$B$9,'Cost Margin'!$I25),Z$6),INDEX(Settings!$J$7:$M$60,0,MATCH('Cost Margin'!$C25,Settings!$J$6:$M$6,0))),NETWORKDAYS(MAX(IF('Cost Margin'!$H25="",'Cost Margin'!$B$8,'Cost Margin'!$H25),Z$5),MIN(IF('Cost Margin'!$I25="",'Cost Margin'!$B$9,'Cost Margin'!$I25),Z$6)))))</f>
        <v>0</v>
      </c>
    </row>
    <row r="18" spans="1:26" x14ac:dyDescent="0.2">
      <c r="A18">
        <v>10</v>
      </c>
      <c r="B18" s="33" t="str">
        <f>IF('Cost Margin'!A26="","",'Cost Margin'!A26)</f>
        <v/>
      </c>
      <c r="C18" s="34">
        <f>IF(OR(C$5="",'Cost Margin'!$A26="",IF('Cost Margin'!$H26="",'Cost Margin'!$B$8,'Cost Margin'!$H26)="",IF('Cost Margin'!$I26="",'Cost Margin'!$B$9,'Cost Margin'!$I26)=""),0,IF(MIN(IF('Cost Margin'!$I26="",'Cost Margin'!$B$9,'Cost Margin'!$I26),C$6)&lt;MAX(IF('Cost Margin'!$H26="",'Cost Margin'!$B$8,'Cost Margin'!$H26),C$5),0,IFERROR(NETWORKDAYS(MAX(IF('Cost Margin'!$H26="",'Cost Margin'!$B$8,'Cost Margin'!$H26),C$5),MIN(IF('Cost Margin'!$I26="",'Cost Margin'!$B$9,'Cost Margin'!$I26),C$6),INDEX(Settings!$J$7:$M$60,0,MATCH('Cost Margin'!$C26,Settings!$J$6:$M$6,0))),NETWORKDAYS(MAX(IF('Cost Margin'!$H26="",'Cost Margin'!$B$8,'Cost Margin'!$H26),C$5),MIN(IF('Cost Margin'!$I26="",'Cost Margin'!$B$9,'Cost Margin'!$I26),C$6)))))</f>
        <v>0</v>
      </c>
      <c r="D18" s="34">
        <f>IF(OR(D$5="",'Cost Margin'!$A26="",IF('Cost Margin'!$H26="",'Cost Margin'!$B$8,'Cost Margin'!$H26)="",IF('Cost Margin'!$I26="",'Cost Margin'!$B$9,'Cost Margin'!$I26)=""),0,IF(MIN(IF('Cost Margin'!$I26="",'Cost Margin'!$B$9,'Cost Margin'!$I26),D$6)&lt;MAX(IF('Cost Margin'!$H26="",'Cost Margin'!$B$8,'Cost Margin'!$H26),D$5),0,IFERROR(NETWORKDAYS(MAX(IF('Cost Margin'!$H26="",'Cost Margin'!$B$8,'Cost Margin'!$H26),D$5),MIN(IF('Cost Margin'!$I26="",'Cost Margin'!$B$9,'Cost Margin'!$I26),D$6),INDEX(Settings!$J$7:$M$60,0,MATCH('Cost Margin'!$C26,Settings!$J$6:$M$6,0))),NETWORKDAYS(MAX(IF('Cost Margin'!$H26="",'Cost Margin'!$B$8,'Cost Margin'!$H26),D$5),MIN(IF('Cost Margin'!$I26="",'Cost Margin'!$B$9,'Cost Margin'!$I26),D$6)))))</f>
        <v>0</v>
      </c>
      <c r="E18" s="34">
        <f>IF(OR(E$5="",'Cost Margin'!$A26="",IF('Cost Margin'!$H26="",'Cost Margin'!$B$8,'Cost Margin'!$H26)="",IF('Cost Margin'!$I26="",'Cost Margin'!$B$9,'Cost Margin'!$I26)=""),0,IF(MIN(IF('Cost Margin'!$I26="",'Cost Margin'!$B$9,'Cost Margin'!$I26),E$6)&lt;MAX(IF('Cost Margin'!$H26="",'Cost Margin'!$B$8,'Cost Margin'!$H26),E$5),0,IFERROR(NETWORKDAYS(MAX(IF('Cost Margin'!$H26="",'Cost Margin'!$B$8,'Cost Margin'!$H26),E$5),MIN(IF('Cost Margin'!$I26="",'Cost Margin'!$B$9,'Cost Margin'!$I26),E$6),INDEX(Settings!$J$7:$M$60,0,MATCH('Cost Margin'!$C26,Settings!$J$6:$M$6,0))),NETWORKDAYS(MAX(IF('Cost Margin'!$H26="",'Cost Margin'!$B$8,'Cost Margin'!$H26),E$5),MIN(IF('Cost Margin'!$I26="",'Cost Margin'!$B$9,'Cost Margin'!$I26),E$6)))))</f>
        <v>0</v>
      </c>
      <c r="F18" s="34">
        <f>IF(OR(F$5="",'Cost Margin'!$A26="",IF('Cost Margin'!$H26="",'Cost Margin'!$B$8,'Cost Margin'!$H26)="",IF('Cost Margin'!$I26="",'Cost Margin'!$B$9,'Cost Margin'!$I26)=""),0,IF(MIN(IF('Cost Margin'!$I26="",'Cost Margin'!$B$9,'Cost Margin'!$I26),F$6)&lt;MAX(IF('Cost Margin'!$H26="",'Cost Margin'!$B$8,'Cost Margin'!$H26),F$5),0,IFERROR(NETWORKDAYS(MAX(IF('Cost Margin'!$H26="",'Cost Margin'!$B$8,'Cost Margin'!$H26),F$5),MIN(IF('Cost Margin'!$I26="",'Cost Margin'!$B$9,'Cost Margin'!$I26),F$6),INDEX(Settings!$J$7:$M$60,0,MATCH('Cost Margin'!$C26,Settings!$J$6:$M$6,0))),NETWORKDAYS(MAX(IF('Cost Margin'!$H26="",'Cost Margin'!$B$8,'Cost Margin'!$H26),F$5),MIN(IF('Cost Margin'!$I26="",'Cost Margin'!$B$9,'Cost Margin'!$I26),F$6)))))</f>
        <v>0</v>
      </c>
      <c r="G18" s="34">
        <f>IF(OR(G$5="",'Cost Margin'!$A26="",IF('Cost Margin'!$H26="",'Cost Margin'!$B$8,'Cost Margin'!$H26)="",IF('Cost Margin'!$I26="",'Cost Margin'!$B$9,'Cost Margin'!$I26)=""),0,IF(MIN(IF('Cost Margin'!$I26="",'Cost Margin'!$B$9,'Cost Margin'!$I26),G$6)&lt;MAX(IF('Cost Margin'!$H26="",'Cost Margin'!$B$8,'Cost Margin'!$H26),G$5),0,IFERROR(NETWORKDAYS(MAX(IF('Cost Margin'!$H26="",'Cost Margin'!$B$8,'Cost Margin'!$H26),G$5),MIN(IF('Cost Margin'!$I26="",'Cost Margin'!$B$9,'Cost Margin'!$I26),G$6),INDEX(Settings!$J$7:$M$60,0,MATCH('Cost Margin'!$C26,Settings!$J$6:$M$6,0))),NETWORKDAYS(MAX(IF('Cost Margin'!$H26="",'Cost Margin'!$B$8,'Cost Margin'!$H26),G$5),MIN(IF('Cost Margin'!$I26="",'Cost Margin'!$B$9,'Cost Margin'!$I26),G$6)))))</f>
        <v>0</v>
      </c>
      <c r="H18" s="34">
        <f>IF(OR(H$5="",'Cost Margin'!$A26="",IF('Cost Margin'!$H26="",'Cost Margin'!$B$8,'Cost Margin'!$H26)="",IF('Cost Margin'!$I26="",'Cost Margin'!$B$9,'Cost Margin'!$I26)=""),0,IF(MIN(IF('Cost Margin'!$I26="",'Cost Margin'!$B$9,'Cost Margin'!$I26),H$6)&lt;MAX(IF('Cost Margin'!$H26="",'Cost Margin'!$B$8,'Cost Margin'!$H26),H$5),0,IFERROR(NETWORKDAYS(MAX(IF('Cost Margin'!$H26="",'Cost Margin'!$B$8,'Cost Margin'!$H26),H$5),MIN(IF('Cost Margin'!$I26="",'Cost Margin'!$B$9,'Cost Margin'!$I26),H$6),INDEX(Settings!$J$7:$M$60,0,MATCH('Cost Margin'!$C26,Settings!$J$6:$M$6,0))),NETWORKDAYS(MAX(IF('Cost Margin'!$H26="",'Cost Margin'!$B$8,'Cost Margin'!$H26),H$5),MIN(IF('Cost Margin'!$I26="",'Cost Margin'!$B$9,'Cost Margin'!$I26),H$6)))))</f>
        <v>0</v>
      </c>
      <c r="I18" s="34">
        <f>IF(OR(I$5="",'Cost Margin'!$A26="",IF('Cost Margin'!$H26="",'Cost Margin'!$B$8,'Cost Margin'!$H26)="",IF('Cost Margin'!$I26="",'Cost Margin'!$B$9,'Cost Margin'!$I26)=""),0,IF(MIN(IF('Cost Margin'!$I26="",'Cost Margin'!$B$9,'Cost Margin'!$I26),I$6)&lt;MAX(IF('Cost Margin'!$H26="",'Cost Margin'!$B$8,'Cost Margin'!$H26),I$5),0,IFERROR(NETWORKDAYS(MAX(IF('Cost Margin'!$H26="",'Cost Margin'!$B$8,'Cost Margin'!$H26),I$5),MIN(IF('Cost Margin'!$I26="",'Cost Margin'!$B$9,'Cost Margin'!$I26),I$6),INDEX(Settings!$J$7:$M$60,0,MATCH('Cost Margin'!$C26,Settings!$J$6:$M$6,0))),NETWORKDAYS(MAX(IF('Cost Margin'!$H26="",'Cost Margin'!$B$8,'Cost Margin'!$H26),I$5),MIN(IF('Cost Margin'!$I26="",'Cost Margin'!$B$9,'Cost Margin'!$I26),I$6)))))</f>
        <v>0</v>
      </c>
      <c r="J18" s="34">
        <f>IF(OR(J$5="",'Cost Margin'!$A26="",IF('Cost Margin'!$H26="",'Cost Margin'!$B$8,'Cost Margin'!$H26)="",IF('Cost Margin'!$I26="",'Cost Margin'!$B$9,'Cost Margin'!$I26)=""),0,IF(MIN(IF('Cost Margin'!$I26="",'Cost Margin'!$B$9,'Cost Margin'!$I26),J$6)&lt;MAX(IF('Cost Margin'!$H26="",'Cost Margin'!$B$8,'Cost Margin'!$H26),J$5),0,IFERROR(NETWORKDAYS(MAX(IF('Cost Margin'!$H26="",'Cost Margin'!$B$8,'Cost Margin'!$H26),J$5),MIN(IF('Cost Margin'!$I26="",'Cost Margin'!$B$9,'Cost Margin'!$I26),J$6),INDEX(Settings!$J$7:$M$60,0,MATCH('Cost Margin'!$C26,Settings!$J$6:$M$6,0))),NETWORKDAYS(MAX(IF('Cost Margin'!$H26="",'Cost Margin'!$B$8,'Cost Margin'!$H26),J$5),MIN(IF('Cost Margin'!$I26="",'Cost Margin'!$B$9,'Cost Margin'!$I26),J$6)))))</f>
        <v>0</v>
      </c>
      <c r="K18" s="34">
        <f>IF(OR(K$5="",'Cost Margin'!$A26="",IF('Cost Margin'!$H26="",'Cost Margin'!$B$8,'Cost Margin'!$H26)="",IF('Cost Margin'!$I26="",'Cost Margin'!$B$9,'Cost Margin'!$I26)=""),0,IF(MIN(IF('Cost Margin'!$I26="",'Cost Margin'!$B$9,'Cost Margin'!$I26),K$6)&lt;MAX(IF('Cost Margin'!$H26="",'Cost Margin'!$B$8,'Cost Margin'!$H26),K$5),0,IFERROR(NETWORKDAYS(MAX(IF('Cost Margin'!$H26="",'Cost Margin'!$B$8,'Cost Margin'!$H26),K$5),MIN(IF('Cost Margin'!$I26="",'Cost Margin'!$B$9,'Cost Margin'!$I26),K$6),INDEX(Settings!$J$7:$M$60,0,MATCH('Cost Margin'!$C26,Settings!$J$6:$M$6,0))),NETWORKDAYS(MAX(IF('Cost Margin'!$H26="",'Cost Margin'!$B$8,'Cost Margin'!$H26),K$5),MIN(IF('Cost Margin'!$I26="",'Cost Margin'!$B$9,'Cost Margin'!$I26),K$6)))))</f>
        <v>0</v>
      </c>
      <c r="L18" s="34">
        <f>IF(OR(L$5="",'Cost Margin'!$A26="",IF('Cost Margin'!$H26="",'Cost Margin'!$B$8,'Cost Margin'!$H26)="",IF('Cost Margin'!$I26="",'Cost Margin'!$B$9,'Cost Margin'!$I26)=""),0,IF(MIN(IF('Cost Margin'!$I26="",'Cost Margin'!$B$9,'Cost Margin'!$I26),L$6)&lt;MAX(IF('Cost Margin'!$H26="",'Cost Margin'!$B$8,'Cost Margin'!$H26),L$5),0,IFERROR(NETWORKDAYS(MAX(IF('Cost Margin'!$H26="",'Cost Margin'!$B$8,'Cost Margin'!$H26),L$5),MIN(IF('Cost Margin'!$I26="",'Cost Margin'!$B$9,'Cost Margin'!$I26),L$6),INDEX(Settings!$J$7:$M$60,0,MATCH('Cost Margin'!$C26,Settings!$J$6:$M$6,0))),NETWORKDAYS(MAX(IF('Cost Margin'!$H26="",'Cost Margin'!$B$8,'Cost Margin'!$H26),L$5),MIN(IF('Cost Margin'!$I26="",'Cost Margin'!$B$9,'Cost Margin'!$I26),L$6)))))</f>
        <v>0</v>
      </c>
      <c r="M18" s="34">
        <f>IF(OR(M$5="",'Cost Margin'!$A26="",IF('Cost Margin'!$H26="",'Cost Margin'!$B$8,'Cost Margin'!$H26)="",IF('Cost Margin'!$I26="",'Cost Margin'!$B$9,'Cost Margin'!$I26)=""),0,IF(MIN(IF('Cost Margin'!$I26="",'Cost Margin'!$B$9,'Cost Margin'!$I26),M$6)&lt;MAX(IF('Cost Margin'!$H26="",'Cost Margin'!$B$8,'Cost Margin'!$H26),M$5),0,IFERROR(NETWORKDAYS(MAX(IF('Cost Margin'!$H26="",'Cost Margin'!$B$8,'Cost Margin'!$H26),M$5),MIN(IF('Cost Margin'!$I26="",'Cost Margin'!$B$9,'Cost Margin'!$I26),M$6),INDEX(Settings!$J$7:$M$60,0,MATCH('Cost Margin'!$C26,Settings!$J$6:$M$6,0))),NETWORKDAYS(MAX(IF('Cost Margin'!$H26="",'Cost Margin'!$B$8,'Cost Margin'!$H26),M$5),MIN(IF('Cost Margin'!$I26="",'Cost Margin'!$B$9,'Cost Margin'!$I26),M$6)))))</f>
        <v>0</v>
      </c>
      <c r="N18" s="34">
        <f>IF(OR(N$5="",'Cost Margin'!$A26="",IF('Cost Margin'!$H26="",'Cost Margin'!$B$8,'Cost Margin'!$H26)="",IF('Cost Margin'!$I26="",'Cost Margin'!$B$9,'Cost Margin'!$I26)=""),0,IF(MIN(IF('Cost Margin'!$I26="",'Cost Margin'!$B$9,'Cost Margin'!$I26),N$6)&lt;MAX(IF('Cost Margin'!$H26="",'Cost Margin'!$B$8,'Cost Margin'!$H26),N$5),0,IFERROR(NETWORKDAYS(MAX(IF('Cost Margin'!$H26="",'Cost Margin'!$B$8,'Cost Margin'!$H26),N$5),MIN(IF('Cost Margin'!$I26="",'Cost Margin'!$B$9,'Cost Margin'!$I26),N$6),INDEX(Settings!$J$7:$M$60,0,MATCH('Cost Margin'!$C26,Settings!$J$6:$M$6,0))),NETWORKDAYS(MAX(IF('Cost Margin'!$H26="",'Cost Margin'!$B$8,'Cost Margin'!$H26),N$5),MIN(IF('Cost Margin'!$I26="",'Cost Margin'!$B$9,'Cost Margin'!$I26),N$6)))))</f>
        <v>0</v>
      </c>
      <c r="O18" s="34">
        <f>IF(OR(O$5="",'Cost Margin'!$A26="",IF('Cost Margin'!$H26="",'Cost Margin'!$B$8,'Cost Margin'!$H26)="",IF('Cost Margin'!$I26="",'Cost Margin'!$B$9,'Cost Margin'!$I26)=""),0,IF(MIN(IF('Cost Margin'!$I26="",'Cost Margin'!$B$9,'Cost Margin'!$I26),O$6)&lt;MAX(IF('Cost Margin'!$H26="",'Cost Margin'!$B$8,'Cost Margin'!$H26),O$5),0,IFERROR(NETWORKDAYS(MAX(IF('Cost Margin'!$H26="",'Cost Margin'!$B$8,'Cost Margin'!$H26),O$5),MIN(IF('Cost Margin'!$I26="",'Cost Margin'!$B$9,'Cost Margin'!$I26),O$6),INDEX(Settings!$J$7:$M$60,0,MATCH('Cost Margin'!$C26,Settings!$J$6:$M$6,0))),NETWORKDAYS(MAX(IF('Cost Margin'!$H26="",'Cost Margin'!$B$8,'Cost Margin'!$H26),O$5),MIN(IF('Cost Margin'!$I26="",'Cost Margin'!$B$9,'Cost Margin'!$I26),O$6)))))</f>
        <v>0</v>
      </c>
      <c r="P18" s="34">
        <f>IF(OR(P$5="",'Cost Margin'!$A26="",IF('Cost Margin'!$H26="",'Cost Margin'!$B$8,'Cost Margin'!$H26)="",IF('Cost Margin'!$I26="",'Cost Margin'!$B$9,'Cost Margin'!$I26)=""),0,IF(MIN(IF('Cost Margin'!$I26="",'Cost Margin'!$B$9,'Cost Margin'!$I26),P$6)&lt;MAX(IF('Cost Margin'!$H26="",'Cost Margin'!$B$8,'Cost Margin'!$H26),P$5),0,IFERROR(NETWORKDAYS(MAX(IF('Cost Margin'!$H26="",'Cost Margin'!$B$8,'Cost Margin'!$H26),P$5),MIN(IF('Cost Margin'!$I26="",'Cost Margin'!$B$9,'Cost Margin'!$I26),P$6),INDEX(Settings!$J$7:$M$60,0,MATCH('Cost Margin'!$C26,Settings!$J$6:$M$6,0))),NETWORKDAYS(MAX(IF('Cost Margin'!$H26="",'Cost Margin'!$B$8,'Cost Margin'!$H26),P$5),MIN(IF('Cost Margin'!$I26="",'Cost Margin'!$B$9,'Cost Margin'!$I26),P$6)))))</f>
        <v>0</v>
      </c>
      <c r="Q18" s="34">
        <f>IF(OR(Q$5="",'Cost Margin'!$A26="",IF('Cost Margin'!$H26="",'Cost Margin'!$B$8,'Cost Margin'!$H26)="",IF('Cost Margin'!$I26="",'Cost Margin'!$B$9,'Cost Margin'!$I26)=""),0,IF(MIN(IF('Cost Margin'!$I26="",'Cost Margin'!$B$9,'Cost Margin'!$I26),Q$6)&lt;MAX(IF('Cost Margin'!$H26="",'Cost Margin'!$B$8,'Cost Margin'!$H26),Q$5),0,IFERROR(NETWORKDAYS(MAX(IF('Cost Margin'!$H26="",'Cost Margin'!$B$8,'Cost Margin'!$H26),Q$5),MIN(IF('Cost Margin'!$I26="",'Cost Margin'!$B$9,'Cost Margin'!$I26),Q$6),INDEX(Settings!$J$7:$M$60,0,MATCH('Cost Margin'!$C26,Settings!$J$6:$M$6,0))),NETWORKDAYS(MAX(IF('Cost Margin'!$H26="",'Cost Margin'!$B$8,'Cost Margin'!$H26),Q$5),MIN(IF('Cost Margin'!$I26="",'Cost Margin'!$B$9,'Cost Margin'!$I26),Q$6)))))</f>
        <v>0</v>
      </c>
      <c r="R18" s="34">
        <f>IF(OR(R$5="",'Cost Margin'!$A26="",IF('Cost Margin'!$H26="",'Cost Margin'!$B$8,'Cost Margin'!$H26)="",IF('Cost Margin'!$I26="",'Cost Margin'!$B$9,'Cost Margin'!$I26)=""),0,IF(MIN(IF('Cost Margin'!$I26="",'Cost Margin'!$B$9,'Cost Margin'!$I26),R$6)&lt;MAX(IF('Cost Margin'!$H26="",'Cost Margin'!$B$8,'Cost Margin'!$H26),R$5),0,IFERROR(NETWORKDAYS(MAX(IF('Cost Margin'!$H26="",'Cost Margin'!$B$8,'Cost Margin'!$H26),R$5),MIN(IF('Cost Margin'!$I26="",'Cost Margin'!$B$9,'Cost Margin'!$I26),R$6),INDEX(Settings!$J$7:$M$60,0,MATCH('Cost Margin'!$C26,Settings!$J$6:$M$6,0))),NETWORKDAYS(MAX(IF('Cost Margin'!$H26="",'Cost Margin'!$B$8,'Cost Margin'!$H26),R$5),MIN(IF('Cost Margin'!$I26="",'Cost Margin'!$B$9,'Cost Margin'!$I26),R$6)))))</f>
        <v>0</v>
      </c>
      <c r="S18" s="34">
        <f>IF(OR(S$5="",'Cost Margin'!$A26="",IF('Cost Margin'!$H26="",'Cost Margin'!$B$8,'Cost Margin'!$H26)="",IF('Cost Margin'!$I26="",'Cost Margin'!$B$9,'Cost Margin'!$I26)=""),0,IF(MIN(IF('Cost Margin'!$I26="",'Cost Margin'!$B$9,'Cost Margin'!$I26),S$6)&lt;MAX(IF('Cost Margin'!$H26="",'Cost Margin'!$B$8,'Cost Margin'!$H26),S$5),0,IFERROR(NETWORKDAYS(MAX(IF('Cost Margin'!$H26="",'Cost Margin'!$B$8,'Cost Margin'!$H26),S$5),MIN(IF('Cost Margin'!$I26="",'Cost Margin'!$B$9,'Cost Margin'!$I26),S$6),INDEX(Settings!$J$7:$M$60,0,MATCH('Cost Margin'!$C26,Settings!$J$6:$M$6,0))),NETWORKDAYS(MAX(IF('Cost Margin'!$H26="",'Cost Margin'!$B$8,'Cost Margin'!$H26),S$5),MIN(IF('Cost Margin'!$I26="",'Cost Margin'!$B$9,'Cost Margin'!$I26),S$6)))))</f>
        <v>0</v>
      </c>
      <c r="T18" s="34">
        <f>IF(OR(T$5="",'Cost Margin'!$A26="",IF('Cost Margin'!$H26="",'Cost Margin'!$B$8,'Cost Margin'!$H26)="",IF('Cost Margin'!$I26="",'Cost Margin'!$B$9,'Cost Margin'!$I26)=""),0,IF(MIN(IF('Cost Margin'!$I26="",'Cost Margin'!$B$9,'Cost Margin'!$I26),T$6)&lt;MAX(IF('Cost Margin'!$H26="",'Cost Margin'!$B$8,'Cost Margin'!$H26),T$5),0,IFERROR(NETWORKDAYS(MAX(IF('Cost Margin'!$H26="",'Cost Margin'!$B$8,'Cost Margin'!$H26),T$5),MIN(IF('Cost Margin'!$I26="",'Cost Margin'!$B$9,'Cost Margin'!$I26),T$6),INDEX(Settings!$J$7:$M$60,0,MATCH('Cost Margin'!$C26,Settings!$J$6:$M$6,0))),NETWORKDAYS(MAX(IF('Cost Margin'!$H26="",'Cost Margin'!$B$8,'Cost Margin'!$H26),T$5),MIN(IF('Cost Margin'!$I26="",'Cost Margin'!$B$9,'Cost Margin'!$I26),T$6)))))</f>
        <v>0</v>
      </c>
      <c r="U18" s="34">
        <f>IF(OR(U$5="",'Cost Margin'!$A26="",IF('Cost Margin'!$H26="",'Cost Margin'!$B$8,'Cost Margin'!$H26)="",IF('Cost Margin'!$I26="",'Cost Margin'!$B$9,'Cost Margin'!$I26)=""),0,IF(MIN(IF('Cost Margin'!$I26="",'Cost Margin'!$B$9,'Cost Margin'!$I26),U$6)&lt;MAX(IF('Cost Margin'!$H26="",'Cost Margin'!$B$8,'Cost Margin'!$H26),U$5),0,IFERROR(NETWORKDAYS(MAX(IF('Cost Margin'!$H26="",'Cost Margin'!$B$8,'Cost Margin'!$H26),U$5),MIN(IF('Cost Margin'!$I26="",'Cost Margin'!$B$9,'Cost Margin'!$I26),U$6),INDEX(Settings!$J$7:$M$60,0,MATCH('Cost Margin'!$C26,Settings!$J$6:$M$6,0))),NETWORKDAYS(MAX(IF('Cost Margin'!$H26="",'Cost Margin'!$B$8,'Cost Margin'!$H26),U$5),MIN(IF('Cost Margin'!$I26="",'Cost Margin'!$B$9,'Cost Margin'!$I26),U$6)))))</f>
        <v>0</v>
      </c>
      <c r="V18" s="34">
        <f>IF(OR(V$5="",'Cost Margin'!$A26="",IF('Cost Margin'!$H26="",'Cost Margin'!$B$8,'Cost Margin'!$H26)="",IF('Cost Margin'!$I26="",'Cost Margin'!$B$9,'Cost Margin'!$I26)=""),0,IF(MIN(IF('Cost Margin'!$I26="",'Cost Margin'!$B$9,'Cost Margin'!$I26),V$6)&lt;MAX(IF('Cost Margin'!$H26="",'Cost Margin'!$B$8,'Cost Margin'!$H26),V$5),0,IFERROR(NETWORKDAYS(MAX(IF('Cost Margin'!$H26="",'Cost Margin'!$B$8,'Cost Margin'!$H26),V$5),MIN(IF('Cost Margin'!$I26="",'Cost Margin'!$B$9,'Cost Margin'!$I26),V$6),INDEX(Settings!$J$7:$M$60,0,MATCH('Cost Margin'!$C26,Settings!$J$6:$M$6,0))),NETWORKDAYS(MAX(IF('Cost Margin'!$H26="",'Cost Margin'!$B$8,'Cost Margin'!$H26),V$5),MIN(IF('Cost Margin'!$I26="",'Cost Margin'!$B$9,'Cost Margin'!$I26),V$6)))))</f>
        <v>0</v>
      </c>
      <c r="W18" s="34">
        <f>IF(OR(W$5="",'Cost Margin'!$A26="",IF('Cost Margin'!$H26="",'Cost Margin'!$B$8,'Cost Margin'!$H26)="",IF('Cost Margin'!$I26="",'Cost Margin'!$B$9,'Cost Margin'!$I26)=""),0,IF(MIN(IF('Cost Margin'!$I26="",'Cost Margin'!$B$9,'Cost Margin'!$I26),W$6)&lt;MAX(IF('Cost Margin'!$H26="",'Cost Margin'!$B$8,'Cost Margin'!$H26),W$5),0,IFERROR(NETWORKDAYS(MAX(IF('Cost Margin'!$H26="",'Cost Margin'!$B$8,'Cost Margin'!$H26),W$5),MIN(IF('Cost Margin'!$I26="",'Cost Margin'!$B$9,'Cost Margin'!$I26),W$6),INDEX(Settings!$J$7:$M$60,0,MATCH('Cost Margin'!$C26,Settings!$J$6:$M$6,0))),NETWORKDAYS(MAX(IF('Cost Margin'!$H26="",'Cost Margin'!$B$8,'Cost Margin'!$H26),W$5),MIN(IF('Cost Margin'!$I26="",'Cost Margin'!$B$9,'Cost Margin'!$I26),W$6)))))</f>
        <v>0</v>
      </c>
      <c r="X18" s="34">
        <f>IF(OR(X$5="",'Cost Margin'!$A26="",IF('Cost Margin'!$H26="",'Cost Margin'!$B$8,'Cost Margin'!$H26)="",IF('Cost Margin'!$I26="",'Cost Margin'!$B$9,'Cost Margin'!$I26)=""),0,IF(MIN(IF('Cost Margin'!$I26="",'Cost Margin'!$B$9,'Cost Margin'!$I26),X$6)&lt;MAX(IF('Cost Margin'!$H26="",'Cost Margin'!$B$8,'Cost Margin'!$H26),X$5),0,IFERROR(NETWORKDAYS(MAX(IF('Cost Margin'!$H26="",'Cost Margin'!$B$8,'Cost Margin'!$H26),X$5),MIN(IF('Cost Margin'!$I26="",'Cost Margin'!$B$9,'Cost Margin'!$I26),X$6),INDEX(Settings!$J$7:$M$60,0,MATCH('Cost Margin'!$C26,Settings!$J$6:$M$6,0))),NETWORKDAYS(MAX(IF('Cost Margin'!$H26="",'Cost Margin'!$B$8,'Cost Margin'!$H26),X$5),MIN(IF('Cost Margin'!$I26="",'Cost Margin'!$B$9,'Cost Margin'!$I26),X$6)))))</f>
        <v>0</v>
      </c>
      <c r="Y18" s="34">
        <f>IF(OR(Y$5="",'Cost Margin'!$A26="",IF('Cost Margin'!$H26="",'Cost Margin'!$B$8,'Cost Margin'!$H26)="",IF('Cost Margin'!$I26="",'Cost Margin'!$B$9,'Cost Margin'!$I26)=""),0,IF(MIN(IF('Cost Margin'!$I26="",'Cost Margin'!$B$9,'Cost Margin'!$I26),Y$6)&lt;MAX(IF('Cost Margin'!$H26="",'Cost Margin'!$B$8,'Cost Margin'!$H26),Y$5),0,IFERROR(NETWORKDAYS(MAX(IF('Cost Margin'!$H26="",'Cost Margin'!$B$8,'Cost Margin'!$H26),Y$5),MIN(IF('Cost Margin'!$I26="",'Cost Margin'!$B$9,'Cost Margin'!$I26),Y$6),INDEX(Settings!$J$7:$M$60,0,MATCH('Cost Margin'!$C26,Settings!$J$6:$M$6,0))),NETWORKDAYS(MAX(IF('Cost Margin'!$H26="",'Cost Margin'!$B$8,'Cost Margin'!$H26),Y$5),MIN(IF('Cost Margin'!$I26="",'Cost Margin'!$B$9,'Cost Margin'!$I26),Y$6)))))</f>
        <v>0</v>
      </c>
      <c r="Z18" s="34">
        <f>IF(OR(Z$5="",'Cost Margin'!$A26="",IF('Cost Margin'!$H26="",'Cost Margin'!$B$8,'Cost Margin'!$H26)="",IF('Cost Margin'!$I26="",'Cost Margin'!$B$9,'Cost Margin'!$I26)=""),0,IF(MIN(IF('Cost Margin'!$I26="",'Cost Margin'!$B$9,'Cost Margin'!$I26),Z$6)&lt;MAX(IF('Cost Margin'!$H26="",'Cost Margin'!$B$8,'Cost Margin'!$H26),Z$5),0,IFERROR(NETWORKDAYS(MAX(IF('Cost Margin'!$H26="",'Cost Margin'!$B$8,'Cost Margin'!$H26),Z$5),MIN(IF('Cost Margin'!$I26="",'Cost Margin'!$B$9,'Cost Margin'!$I26),Z$6),INDEX(Settings!$J$7:$M$60,0,MATCH('Cost Margin'!$C26,Settings!$J$6:$M$6,0))),NETWORKDAYS(MAX(IF('Cost Margin'!$H26="",'Cost Margin'!$B$8,'Cost Margin'!$H26),Z$5),MIN(IF('Cost Margin'!$I26="",'Cost Margin'!$B$9,'Cost Margin'!$I26),Z$6)))))</f>
        <v>0</v>
      </c>
    </row>
    <row r="19" spans="1:26" x14ac:dyDescent="0.2">
      <c r="A19">
        <v>11</v>
      </c>
      <c r="B19" s="33" t="str">
        <f>IF('Cost Margin'!A27="","",'Cost Margin'!A27)</f>
        <v/>
      </c>
      <c r="C19" s="34">
        <f>IF(OR(C$5="",'Cost Margin'!$A27="",IF('Cost Margin'!$H27="",'Cost Margin'!$B$8,'Cost Margin'!$H27)="",IF('Cost Margin'!$I27="",'Cost Margin'!$B$9,'Cost Margin'!$I27)=""),0,IF(MIN(IF('Cost Margin'!$I27="",'Cost Margin'!$B$9,'Cost Margin'!$I27),C$6)&lt;MAX(IF('Cost Margin'!$H27="",'Cost Margin'!$B$8,'Cost Margin'!$H27),C$5),0,IFERROR(NETWORKDAYS(MAX(IF('Cost Margin'!$H27="",'Cost Margin'!$B$8,'Cost Margin'!$H27),C$5),MIN(IF('Cost Margin'!$I27="",'Cost Margin'!$B$9,'Cost Margin'!$I27),C$6),INDEX(Settings!$J$7:$M$60,0,MATCH('Cost Margin'!$C27,Settings!$J$6:$M$6,0))),NETWORKDAYS(MAX(IF('Cost Margin'!$H27="",'Cost Margin'!$B$8,'Cost Margin'!$H27),C$5),MIN(IF('Cost Margin'!$I27="",'Cost Margin'!$B$9,'Cost Margin'!$I27),C$6)))))</f>
        <v>0</v>
      </c>
      <c r="D19" s="34">
        <f>IF(OR(D$5="",'Cost Margin'!$A27="",IF('Cost Margin'!$H27="",'Cost Margin'!$B$8,'Cost Margin'!$H27)="",IF('Cost Margin'!$I27="",'Cost Margin'!$B$9,'Cost Margin'!$I27)=""),0,IF(MIN(IF('Cost Margin'!$I27="",'Cost Margin'!$B$9,'Cost Margin'!$I27),D$6)&lt;MAX(IF('Cost Margin'!$H27="",'Cost Margin'!$B$8,'Cost Margin'!$H27),D$5),0,IFERROR(NETWORKDAYS(MAX(IF('Cost Margin'!$H27="",'Cost Margin'!$B$8,'Cost Margin'!$H27),D$5),MIN(IF('Cost Margin'!$I27="",'Cost Margin'!$B$9,'Cost Margin'!$I27),D$6),INDEX(Settings!$J$7:$M$60,0,MATCH('Cost Margin'!$C27,Settings!$J$6:$M$6,0))),NETWORKDAYS(MAX(IF('Cost Margin'!$H27="",'Cost Margin'!$B$8,'Cost Margin'!$H27),D$5),MIN(IF('Cost Margin'!$I27="",'Cost Margin'!$B$9,'Cost Margin'!$I27),D$6)))))</f>
        <v>0</v>
      </c>
      <c r="E19" s="34">
        <f>IF(OR(E$5="",'Cost Margin'!$A27="",IF('Cost Margin'!$H27="",'Cost Margin'!$B$8,'Cost Margin'!$H27)="",IF('Cost Margin'!$I27="",'Cost Margin'!$B$9,'Cost Margin'!$I27)=""),0,IF(MIN(IF('Cost Margin'!$I27="",'Cost Margin'!$B$9,'Cost Margin'!$I27),E$6)&lt;MAX(IF('Cost Margin'!$H27="",'Cost Margin'!$B$8,'Cost Margin'!$H27),E$5),0,IFERROR(NETWORKDAYS(MAX(IF('Cost Margin'!$H27="",'Cost Margin'!$B$8,'Cost Margin'!$H27),E$5),MIN(IF('Cost Margin'!$I27="",'Cost Margin'!$B$9,'Cost Margin'!$I27),E$6),INDEX(Settings!$J$7:$M$60,0,MATCH('Cost Margin'!$C27,Settings!$J$6:$M$6,0))),NETWORKDAYS(MAX(IF('Cost Margin'!$H27="",'Cost Margin'!$B$8,'Cost Margin'!$H27),E$5),MIN(IF('Cost Margin'!$I27="",'Cost Margin'!$B$9,'Cost Margin'!$I27),E$6)))))</f>
        <v>0</v>
      </c>
      <c r="F19" s="34">
        <f>IF(OR(F$5="",'Cost Margin'!$A27="",IF('Cost Margin'!$H27="",'Cost Margin'!$B$8,'Cost Margin'!$H27)="",IF('Cost Margin'!$I27="",'Cost Margin'!$B$9,'Cost Margin'!$I27)=""),0,IF(MIN(IF('Cost Margin'!$I27="",'Cost Margin'!$B$9,'Cost Margin'!$I27),F$6)&lt;MAX(IF('Cost Margin'!$H27="",'Cost Margin'!$B$8,'Cost Margin'!$H27),F$5),0,IFERROR(NETWORKDAYS(MAX(IF('Cost Margin'!$H27="",'Cost Margin'!$B$8,'Cost Margin'!$H27),F$5),MIN(IF('Cost Margin'!$I27="",'Cost Margin'!$B$9,'Cost Margin'!$I27),F$6),INDEX(Settings!$J$7:$M$60,0,MATCH('Cost Margin'!$C27,Settings!$J$6:$M$6,0))),NETWORKDAYS(MAX(IF('Cost Margin'!$H27="",'Cost Margin'!$B$8,'Cost Margin'!$H27),F$5),MIN(IF('Cost Margin'!$I27="",'Cost Margin'!$B$9,'Cost Margin'!$I27),F$6)))))</f>
        <v>0</v>
      </c>
      <c r="G19" s="34">
        <f>IF(OR(G$5="",'Cost Margin'!$A27="",IF('Cost Margin'!$H27="",'Cost Margin'!$B$8,'Cost Margin'!$H27)="",IF('Cost Margin'!$I27="",'Cost Margin'!$B$9,'Cost Margin'!$I27)=""),0,IF(MIN(IF('Cost Margin'!$I27="",'Cost Margin'!$B$9,'Cost Margin'!$I27),G$6)&lt;MAX(IF('Cost Margin'!$H27="",'Cost Margin'!$B$8,'Cost Margin'!$H27),G$5),0,IFERROR(NETWORKDAYS(MAX(IF('Cost Margin'!$H27="",'Cost Margin'!$B$8,'Cost Margin'!$H27),G$5),MIN(IF('Cost Margin'!$I27="",'Cost Margin'!$B$9,'Cost Margin'!$I27),G$6),INDEX(Settings!$J$7:$M$60,0,MATCH('Cost Margin'!$C27,Settings!$J$6:$M$6,0))),NETWORKDAYS(MAX(IF('Cost Margin'!$H27="",'Cost Margin'!$B$8,'Cost Margin'!$H27),G$5),MIN(IF('Cost Margin'!$I27="",'Cost Margin'!$B$9,'Cost Margin'!$I27),G$6)))))</f>
        <v>0</v>
      </c>
      <c r="H19" s="34">
        <f>IF(OR(H$5="",'Cost Margin'!$A27="",IF('Cost Margin'!$H27="",'Cost Margin'!$B$8,'Cost Margin'!$H27)="",IF('Cost Margin'!$I27="",'Cost Margin'!$B$9,'Cost Margin'!$I27)=""),0,IF(MIN(IF('Cost Margin'!$I27="",'Cost Margin'!$B$9,'Cost Margin'!$I27),H$6)&lt;MAX(IF('Cost Margin'!$H27="",'Cost Margin'!$B$8,'Cost Margin'!$H27),H$5),0,IFERROR(NETWORKDAYS(MAX(IF('Cost Margin'!$H27="",'Cost Margin'!$B$8,'Cost Margin'!$H27),H$5),MIN(IF('Cost Margin'!$I27="",'Cost Margin'!$B$9,'Cost Margin'!$I27),H$6),INDEX(Settings!$J$7:$M$60,0,MATCH('Cost Margin'!$C27,Settings!$J$6:$M$6,0))),NETWORKDAYS(MAX(IF('Cost Margin'!$H27="",'Cost Margin'!$B$8,'Cost Margin'!$H27),H$5),MIN(IF('Cost Margin'!$I27="",'Cost Margin'!$B$9,'Cost Margin'!$I27),H$6)))))</f>
        <v>0</v>
      </c>
      <c r="I19" s="34">
        <f>IF(OR(I$5="",'Cost Margin'!$A27="",IF('Cost Margin'!$H27="",'Cost Margin'!$B$8,'Cost Margin'!$H27)="",IF('Cost Margin'!$I27="",'Cost Margin'!$B$9,'Cost Margin'!$I27)=""),0,IF(MIN(IF('Cost Margin'!$I27="",'Cost Margin'!$B$9,'Cost Margin'!$I27),I$6)&lt;MAX(IF('Cost Margin'!$H27="",'Cost Margin'!$B$8,'Cost Margin'!$H27),I$5),0,IFERROR(NETWORKDAYS(MAX(IF('Cost Margin'!$H27="",'Cost Margin'!$B$8,'Cost Margin'!$H27),I$5),MIN(IF('Cost Margin'!$I27="",'Cost Margin'!$B$9,'Cost Margin'!$I27),I$6),INDEX(Settings!$J$7:$M$60,0,MATCH('Cost Margin'!$C27,Settings!$J$6:$M$6,0))),NETWORKDAYS(MAX(IF('Cost Margin'!$H27="",'Cost Margin'!$B$8,'Cost Margin'!$H27),I$5),MIN(IF('Cost Margin'!$I27="",'Cost Margin'!$B$9,'Cost Margin'!$I27),I$6)))))</f>
        <v>0</v>
      </c>
      <c r="J19" s="34">
        <f>IF(OR(J$5="",'Cost Margin'!$A27="",IF('Cost Margin'!$H27="",'Cost Margin'!$B$8,'Cost Margin'!$H27)="",IF('Cost Margin'!$I27="",'Cost Margin'!$B$9,'Cost Margin'!$I27)=""),0,IF(MIN(IF('Cost Margin'!$I27="",'Cost Margin'!$B$9,'Cost Margin'!$I27),J$6)&lt;MAX(IF('Cost Margin'!$H27="",'Cost Margin'!$B$8,'Cost Margin'!$H27),J$5),0,IFERROR(NETWORKDAYS(MAX(IF('Cost Margin'!$H27="",'Cost Margin'!$B$8,'Cost Margin'!$H27),J$5),MIN(IF('Cost Margin'!$I27="",'Cost Margin'!$B$9,'Cost Margin'!$I27),J$6),INDEX(Settings!$J$7:$M$60,0,MATCH('Cost Margin'!$C27,Settings!$J$6:$M$6,0))),NETWORKDAYS(MAX(IF('Cost Margin'!$H27="",'Cost Margin'!$B$8,'Cost Margin'!$H27),J$5),MIN(IF('Cost Margin'!$I27="",'Cost Margin'!$B$9,'Cost Margin'!$I27),J$6)))))</f>
        <v>0</v>
      </c>
      <c r="K19" s="34">
        <f>IF(OR(K$5="",'Cost Margin'!$A27="",IF('Cost Margin'!$H27="",'Cost Margin'!$B$8,'Cost Margin'!$H27)="",IF('Cost Margin'!$I27="",'Cost Margin'!$B$9,'Cost Margin'!$I27)=""),0,IF(MIN(IF('Cost Margin'!$I27="",'Cost Margin'!$B$9,'Cost Margin'!$I27),K$6)&lt;MAX(IF('Cost Margin'!$H27="",'Cost Margin'!$B$8,'Cost Margin'!$H27),K$5),0,IFERROR(NETWORKDAYS(MAX(IF('Cost Margin'!$H27="",'Cost Margin'!$B$8,'Cost Margin'!$H27),K$5),MIN(IF('Cost Margin'!$I27="",'Cost Margin'!$B$9,'Cost Margin'!$I27),K$6),INDEX(Settings!$J$7:$M$60,0,MATCH('Cost Margin'!$C27,Settings!$J$6:$M$6,0))),NETWORKDAYS(MAX(IF('Cost Margin'!$H27="",'Cost Margin'!$B$8,'Cost Margin'!$H27),K$5),MIN(IF('Cost Margin'!$I27="",'Cost Margin'!$B$9,'Cost Margin'!$I27),K$6)))))</f>
        <v>0</v>
      </c>
      <c r="L19" s="34">
        <f>IF(OR(L$5="",'Cost Margin'!$A27="",IF('Cost Margin'!$H27="",'Cost Margin'!$B$8,'Cost Margin'!$H27)="",IF('Cost Margin'!$I27="",'Cost Margin'!$B$9,'Cost Margin'!$I27)=""),0,IF(MIN(IF('Cost Margin'!$I27="",'Cost Margin'!$B$9,'Cost Margin'!$I27),L$6)&lt;MAX(IF('Cost Margin'!$H27="",'Cost Margin'!$B$8,'Cost Margin'!$H27),L$5),0,IFERROR(NETWORKDAYS(MAX(IF('Cost Margin'!$H27="",'Cost Margin'!$B$8,'Cost Margin'!$H27),L$5),MIN(IF('Cost Margin'!$I27="",'Cost Margin'!$B$9,'Cost Margin'!$I27),L$6),INDEX(Settings!$J$7:$M$60,0,MATCH('Cost Margin'!$C27,Settings!$J$6:$M$6,0))),NETWORKDAYS(MAX(IF('Cost Margin'!$H27="",'Cost Margin'!$B$8,'Cost Margin'!$H27),L$5),MIN(IF('Cost Margin'!$I27="",'Cost Margin'!$B$9,'Cost Margin'!$I27),L$6)))))</f>
        <v>0</v>
      </c>
      <c r="M19" s="34">
        <f>IF(OR(M$5="",'Cost Margin'!$A27="",IF('Cost Margin'!$H27="",'Cost Margin'!$B$8,'Cost Margin'!$H27)="",IF('Cost Margin'!$I27="",'Cost Margin'!$B$9,'Cost Margin'!$I27)=""),0,IF(MIN(IF('Cost Margin'!$I27="",'Cost Margin'!$B$9,'Cost Margin'!$I27),M$6)&lt;MAX(IF('Cost Margin'!$H27="",'Cost Margin'!$B$8,'Cost Margin'!$H27),M$5),0,IFERROR(NETWORKDAYS(MAX(IF('Cost Margin'!$H27="",'Cost Margin'!$B$8,'Cost Margin'!$H27),M$5),MIN(IF('Cost Margin'!$I27="",'Cost Margin'!$B$9,'Cost Margin'!$I27),M$6),INDEX(Settings!$J$7:$M$60,0,MATCH('Cost Margin'!$C27,Settings!$J$6:$M$6,0))),NETWORKDAYS(MAX(IF('Cost Margin'!$H27="",'Cost Margin'!$B$8,'Cost Margin'!$H27),M$5),MIN(IF('Cost Margin'!$I27="",'Cost Margin'!$B$9,'Cost Margin'!$I27),M$6)))))</f>
        <v>0</v>
      </c>
      <c r="N19" s="34">
        <f>IF(OR(N$5="",'Cost Margin'!$A27="",IF('Cost Margin'!$H27="",'Cost Margin'!$B$8,'Cost Margin'!$H27)="",IF('Cost Margin'!$I27="",'Cost Margin'!$B$9,'Cost Margin'!$I27)=""),0,IF(MIN(IF('Cost Margin'!$I27="",'Cost Margin'!$B$9,'Cost Margin'!$I27),N$6)&lt;MAX(IF('Cost Margin'!$H27="",'Cost Margin'!$B$8,'Cost Margin'!$H27),N$5),0,IFERROR(NETWORKDAYS(MAX(IF('Cost Margin'!$H27="",'Cost Margin'!$B$8,'Cost Margin'!$H27),N$5),MIN(IF('Cost Margin'!$I27="",'Cost Margin'!$B$9,'Cost Margin'!$I27),N$6),INDEX(Settings!$J$7:$M$60,0,MATCH('Cost Margin'!$C27,Settings!$J$6:$M$6,0))),NETWORKDAYS(MAX(IF('Cost Margin'!$H27="",'Cost Margin'!$B$8,'Cost Margin'!$H27),N$5),MIN(IF('Cost Margin'!$I27="",'Cost Margin'!$B$9,'Cost Margin'!$I27),N$6)))))</f>
        <v>0</v>
      </c>
      <c r="O19" s="34">
        <f>IF(OR(O$5="",'Cost Margin'!$A27="",IF('Cost Margin'!$H27="",'Cost Margin'!$B$8,'Cost Margin'!$H27)="",IF('Cost Margin'!$I27="",'Cost Margin'!$B$9,'Cost Margin'!$I27)=""),0,IF(MIN(IF('Cost Margin'!$I27="",'Cost Margin'!$B$9,'Cost Margin'!$I27),O$6)&lt;MAX(IF('Cost Margin'!$H27="",'Cost Margin'!$B$8,'Cost Margin'!$H27),O$5),0,IFERROR(NETWORKDAYS(MAX(IF('Cost Margin'!$H27="",'Cost Margin'!$B$8,'Cost Margin'!$H27),O$5),MIN(IF('Cost Margin'!$I27="",'Cost Margin'!$B$9,'Cost Margin'!$I27),O$6),INDEX(Settings!$J$7:$M$60,0,MATCH('Cost Margin'!$C27,Settings!$J$6:$M$6,0))),NETWORKDAYS(MAX(IF('Cost Margin'!$H27="",'Cost Margin'!$B$8,'Cost Margin'!$H27),O$5),MIN(IF('Cost Margin'!$I27="",'Cost Margin'!$B$9,'Cost Margin'!$I27),O$6)))))</f>
        <v>0</v>
      </c>
      <c r="P19" s="34">
        <f>IF(OR(P$5="",'Cost Margin'!$A27="",IF('Cost Margin'!$H27="",'Cost Margin'!$B$8,'Cost Margin'!$H27)="",IF('Cost Margin'!$I27="",'Cost Margin'!$B$9,'Cost Margin'!$I27)=""),0,IF(MIN(IF('Cost Margin'!$I27="",'Cost Margin'!$B$9,'Cost Margin'!$I27),P$6)&lt;MAX(IF('Cost Margin'!$H27="",'Cost Margin'!$B$8,'Cost Margin'!$H27),P$5),0,IFERROR(NETWORKDAYS(MAX(IF('Cost Margin'!$H27="",'Cost Margin'!$B$8,'Cost Margin'!$H27),P$5),MIN(IF('Cost Margin'!$I27="",'Cost Margin'!$B$9,'Cost Margin'!$I27),P$6),INDEX(Settings!$J$7:$M$60,0,MATCH('Cost Margin'!$C27,Settings!$J$6:$M$6,0))),NETWORKDAYS(MAX(IF('Cost Margin'!$H27="",'Cost Margin'!$B$8,'Cost Margin'!$H27),P$5),MIN(IF('Cost Margin'!$I27="",'Cost Margin'!$B$9,'Cost Margin'!$I27),P$6)))))</f>
        <v>0</v>
      </c>
      <c r="Q19" s="34">
        <f>IF(OR(Q$5="",'Cost Margin'!$A27="",IF('Cost Margin'!$H27="",'Cost Margin'!$B$8,'Cost Margin'!$H27)="",IF('Cost Margin'!$I27="",'Cost Margin'!$B$9,'Cost Margin'!$I27)=""),0,IF(MIN(IF('Cost Margin'!$I27="",'Cost Margin'!$B$9,'Cost Margin'!$I27),Q$6)&lt;MAX(IF('Cost Margin'!$H27="",'Cost Margin'!$B$8,'Cost Margin'!$H27),Q$5),0,IFERROR(NETWORKDAYS(MAX(IF('Cost Margin'!$H27="",'Cost Margin'!$B$8,'Cost Margin'!$H27),Q$5),MIN(IF('Cost Margin'!$I27="",'Cost Margin'!$B$9,'Cost Margin'!$I27),Q$6),INDEX(Settings!$J$7:$M$60,0,MATCH('Cost Margin'!$C27,Settings!$J$6:$M$6,0))),NETWORKDAYS(MAX(IF('Cost Margin'!$H27="",'Cost Margin'!$B$8,'Cost Margin'!$H27),Q$5),MIN(IF('Cost Margin'!$I27="",'Cost Margin'!$B$9,'Cost Margin'!$I27),Q$6)))))</f>
        <v>0</v>
      </c>
      <c r="R19" s="34">
        <f>IF(OR(R$5="",'Cost Margin'!$A27="",IF('Cost Margin'!$H27="",'Cost Margin'!$B$8,'Cost Margin'!$H27)="",IF('Cost Margin'!$I27="",'Cost Margin'!$B$9,'Cost Margin'!$I27)=""),0,IF(MIN(IF('Cost Margin'!$I27="",'Cost Margin'!$B$9,'Cost Margin'!$I27),R$6)&lt;MAX(IF('Cost Margin'!$H27="",'Cost Margin'!$B$8,'Cost Margin'!$H27),R$5),0,IFERROR(NETWORKDAYS(MAX(IF('Cost Margin'!$H27="",'Cost Margin'!$B$8,'Cost Margin'!$H27),R$5),MIN(IF('Cost Margin'!$I27="",'Cost Margin'!$B$9,'Cost Margin'!$I27),R$6),INDEX(Settings!$J$7:$M$60,0,MATCH('Cost Margin'!$C27,Settings!$J$6:$M$6,0))),NETWORKDAYS(MAX(IF('Cost Margin'!$H27="",'Cost Margin'!$B$8,'Cost Margin'!$H27),R$5),MIN(IF('Cost Margin'!$I27="",'Cost Margin'!$B$9,'Cost Margin'!$I27),R$6)))))</f>
        <v>0</v>
      </c>
      <c r="S19" s="34">
        <f>IF(OR(S$5="",'Cost Margin'!$A27="",IF('Cost Margin'!$H27="",'Cost Margin'!$B$8,'Cost Margin'!$H27)="",IF('Cost Margin'!$I27="",'Cost Margin'!$B$9,'Cost Margin'!$I27)=""),0,IF(MIN(IF('Cost Margin'!$I27="",'Cost Margin'!$B$9,'Cost Margin'!$I27),S$6)&lt;MAX(IF('Cost Margin'!$H27="",'Cost Margin'!$B$8,'Cost Margin'!$H27),S$5),0,IFERROR(NETWORKDAYS(MAX(IF('Cost Margin'!$H27="",'Cost Margin'!$B$8,'Cost Margin'!$H27),S$5),MIN(IF('Cost Margin'!$I27="",'Cost Margin'!$B$9,'Cost Margin'!$I27),S$6),INDEX(Settings!$J$7:$M$60,0,MATCH('Cost Margin'!$C27,Settings!$J$6:$M$6,0))),NETWORKDAYS(MAX(IF('Cost Margin'!$H27="",'Cost Margin'!$B$8,'Cost Margin'!$H27),S$5),MIN(IF('Cost Margin'!$I27="",'Cost Margin'!$B$9,'Cost Margin'!$I27),S$6)))))</f>
        <v>0</v>
      </c>
      <c r="T19" s="34">
        <f>IF(OR(T$5="",'Cost Margin'!$A27="",IF('Cost Margin'!$H27="",'Cost Margin'!$B$8,'Cost Margin'!$H27)="",IF('Cost Margin'!$I27="",'Cost Margin'!$B$9,'Cost Margin'!$I27)=""),0,IF(MIN(IF('Cost Margin'!$I27="",'Cost Margin'!$B$9,'Cost Margin'!$I27),T$6)&lt;MAX(IF('Cost Margin'!$H27="",'Cost Margin'!$B$8,'Cost Margin'!$H27),T$5),0,IFERROR(NETWORKDAYS(MAX(IF('Cost Margin'!$H27="",'Cost Margin'!$B$8,'Cost Margin'!$H27),T$5),MIN(IF('Cost Margin'!$I27="",'Cost Margin'!$B$9,'Cost Margin'!$I27),T$6),INDEX(Settings!$J$7:$M$60,0,MATCH('Cost Margin'!$C27,Settings!$J$6:$M$6,0))),NETWORKDAYS(MAX(IF('Cost Margin'!$H27="",'Cost Margin'!$B$8,'Cost Margin'!$H27),T$5),MIN(IF('Cost Margin'!$I27="",'Cost Margin'!$B$9,'Cost Margin'!$I27),T$6)))))</f>
        <v>0</v>
      </c>
      <c r="U19" s="34">
        <f>IF(OR(U$5="",'Cost Margin'!$A27="",IF('Cost Margin'!$H27="",'Cost Margin'!$B$8,'Cost Margin'!$H27)="",IF('Cost Margin'!$I27="",'Cost Margin'!$B$9,'Cost Margin'!$I27)=""),0,IF(MIN(IF('Cost Margin'!$I27="",'Cost Margin'!$B$9,'Cost Margin'!$I27),U$6)&lt;MAX(IF('Cost Margin'!$H27="",'Cost Margin'!$B$8,'Cost Margin'!$H27),U$5),0,IFERROR(NETWORKDAYS(MAX(IF('Cost Margin'!$H27="",'Cost Margin'!$B$8,'Cost Margin'!$H27),U$5),MIN(IF('Cost Margin'!$I27="",'Cost Margin'!$B$9,'Cost Margin'!$I27),U$6),INDEX(Settings!$J$7:$M$60,0,MATCH('Cost Margin'!$C27,Settings!$J$6:$M$6,0))),NETWORKDAYS(MAX(IF('Cost Margin'!$H27="",'Cost Margin'!$B$8,'Cost Margin'!$H27),U$5),MIN(IF('Cost Margin'!$I27="",'Cost Margin'!$B$9,'Cost Margin'!$I27),U$6)))))</f>
        <v>0</v>
      </c>
      <c r="V19" s="34">
        <f>IF(OR(V$5="",'Cost Margin'!$A27="",IF('Cost Margin'!$H27="",'Cost Margin'!$B$8,'Cost Margin'!$H27)="",IF('Cost Margin'!$I27="",'Cost Margin'!$B$9,'Cost Margin'!$I27)=""),0,IF(MIN(IF('Cost Margin'!$I27="",'Cost Margin'!$B$9,'Cost Margin'!$I27),V$6)&lt;MAX(IF('Cost Margin'!$H27="",'Cost Margin'!$B$8,'Cost Margin'!$H27),V$5),0,IFERROR(NETWORKDAYS(MAX(IF('Cost Margin'!$H27="",'Cost Margin'!$B$8,'Cost Margin'!$H27),V$5),MIN(IF('Cost Margin'!$I27="",'Cost Margin'!$B$9,'Cost Margin'!$I27),V$6),INDEX(Settings!$J$7:$M$60,0,MATCH('Cost Margin'!$C27,Settings!$J$6:$M$6,0))),NETWORKDAYS(MAX(IF('Cost Margin'!$H27="",'Cost Margin'!$B$8,'Cost Margin'!$H27),V$5),MIN(IF('Cost Margin'!$I27="",'Cost Margin'!$B$9,'Cost Margin'!$I27),V$6)))))</f>
        <v>0</v>
      </c>
      <c r="W19" s="34">
        <f>IF(OR(W$5="",'Cost Margin'!$A27="",IF('Cost Margin'!$H27="",'Cost Margin'!$B$8,'Cost Margin'!$H27)="",IF('Cost Margin'!$I27="",'Cost Margin'!$B$9,'Cost Margin'!$I27)=""),0,IF(MIN(IF('Cost Margin'!$I27="",'Cost Margin'!$B$9,'Cost Margin'!$I27),W$6)&lt;MAX(IF('Cost Margin'!$H27="",'Cost Margin'!$B$8,'Cost Margin'!$H27),W$5),0,IFERROR(NETWORKDAYS(MAX(IF('Cost Margin'!$H27="",'Cost Margin'!$B$8,'Cost Margin'!$H27),W$5),MIN(IF('Cost Margin'!$I27="",'Cost Margin'!$B$9,'Cost Margin'!$I27),W$6),INDEX(Settings!$J$7:$M$60,0,MATCH('Cost Margin'!$C27,Settings!$J$6:$M$6,0))),NETWORKDAYS(MAX(IF('Cost Margin'!$H27="",'Cost Margin'!$B$8,'Cost Margin'!$H27),W$5),MIN(IF('Cost Margin'!$I27="",'Cost Margin'!$B$9,'Cost Margin'!$I27),W$6)))))</f>
        <v>0</v>
      </c>
      <c r="X19" s="34">
        <f>IF(OR(X$5="",'Cost Margin'!$A27="",IF('Cost Margin'!$H27="",'Cost Margin'!$B$8,'Cost Margin'!$H27)="",IF('Cost Margin'!$I27="",'Cost Margin'!$B$9,'Cost Margin'!$I27)=""),0,IF(MIN(IF('Cost Margin'!$I27="",'Cost Margin'!$B$9,'Cost Margin'!$I27),X$6)&lt;MAX(IF('Cost Margin'!$H27="",'Cost Margin'!$B$8,'Cost Margin'!$H27),X$5),0,IFERROR(NETWORKDAYS(MAX(IF('Cost Margin'!$H27="",'Cost Margin'!$B$8,'Cost Margin'!$H27),X$5),MIN(IF('Cost Margin'!$I27="",'Cost Margin'!$B$9,'Cost Margin'!$I27),X$6),INDEX(Settings!$J$7:$M$60,0,MATCH('Cost Margin'!$C27,Settings!$J$6:$M$6,0))),NETWORKDAYS(MAX(IF('Cost Margin'!$H27="",'Cost Margin'!$B$8,'Cost Margin'!$H27),X$5),MIN(IF('Cost Margin'!$I27="",'Cost Margin'!$B$9,'Cost Margin'!$I27),X$6)))))</f>
        <v>0</v>
      </c>
      <c r="Y19" s="34">
        <f>IF(OR(Y$5="",'Cost Margin'!$A27="",IF('Cost Margin'!$H27="",'Cost Margin'!$B$8,'Cost Margin'!$H27)="",IF('Cost Margin'!$I27="",'Cost Margin'!$B$9,'Cost Margin'!$I27)=""),0,IF(MIN(IF('Cost Margin'!$I27="",'Cost Margin'!$B$9,'Cost Margin'!$I27),Y$6)&lt;MAX(IF('Cost Margin'!$H27="",'Cost Margin'!$B$8,'Cost Margin'!$H27),Y$5),0,IFERROR(NETWORKDAYS(MAX(IF('Cost Margin'!$H27="",'Cost Margin'!$B$8,'Cost Margin'!$H27),Y$5),MIN(IF('Cost Margin'!$I27="",'Cost Margin'!$B$9,'Cost Margin'!$I27),Y$6),INDEX(Settings!$J$7:$M$60,0,MATCH('Cost Margin'!$C27,Settings!$J$6:$M$6,0))),NETWORKDAYS(MAX(IF('Cost Margin'!$H27="",'Cost Margin'!$B$8,'Cost Margin'!$H27),Y$5),MIN(IF('Cost Margin'!$I27="",'Cost Margin'!$B$9,'Cost Margin'!$I27),Y$6)))))</f>
        <v>0</v>
      </c>
      <c r="Z19" s="34">
        <f>IF(OR(Z$5="",'Cost Margin'!$A27="",IF('Cost Margin'!$H27="",'Cost Margin'!$B$8,'Cost Margin'!$H27)="",IF('Cost Margin'!$I27="",'Cost Margin'!$B$9,'Cost Margin'!$I27)=""),0,IF(MIN(IF('Cost Margin'!$I27="",'Cost Margin'!$B$9,'Cost Margin'!$I27),Z$6)&lt;MAX(IF('Cost Margin'!$H27="",'Cost Margin'!$B$8,'Cost Margin'!$H27),Z$5),0,IFERROR(NETWORKDAYS(MAX(IF('Cost Margin'!$H27="",'Cost Margin'!$B$8,'Cost Margin'!$H27),Z$5),MIN(IF('Cost Margin'!$I27="",'Cost Margin'!$B$9,'Cost Margin'!$I27),Z$6),INDEX(Settings!$J$7:$M$60,0,MATCH('Cost Margin'!$C27,Settings!$J$6:$M$6,0))),NETWORKDAYS(MAX(IF('Cost Margin'!$H27="",'Cost Margin'!$B$8,'Cost Margin'!$H27),Z$5),MIN(IF('Cost Margin'!$I27="",'Cost Margin'!$B$9,'Cost Margin'!$I27),Z$6)))))</f>
        <v>0</v>
      </c>
    </row>
    <row r="20" spans="1:26" x14ac:dyDescent="0.2">
      <c r="A20">
        <v>12</v>
      </c>
      <c r="B20" s="33" t="str">
        <f>IF('Cost Margin'!A28="","",'Cost Margin'!A28)</f>
        <v/>
      </c>
      <c r="C20" s="34">
        <f>IF(OR(C$5="",'Cost Margin'!$A28="",IF('Cost Margin'!$H28="",'Cost Margin'!$B$8,'Cost Margin'!$H28)="",IF('Cost Margin'!$I28="",'Cost Margin'!$B$9,'Cost Margin'!$I28)=""),0,IF(MIN(IF('Cost Margin'!$I28="",'Cost Margin'!$B$9,'Cost Margin'!$I28),C$6)&lt;MAX(IF('Cost Margin'!$H28="",'Cost Margin'!$B$8,'Cost Margin'!$H28),C$5),0,IFERROR(NETWORKDAYS(MAX(IF('Cost Margin'!$H28="",'Cost Margin'!$B$8,'Cost Margin'!$H28),C$5),MIN(IF('Cost Margin'!$I28="",'Cost Margin'!$B$9,'Cost Margin'!$I28),C$6),INDEX(Settings!$J$7:$M$60,0,MATCH('Cost Margin'!$C28,Settings!$J$6:$M$6,0))),NETWORKDAYS(MAX(IF('Cost Margin'!$H28="",'Cost Margin'!$B$8,'Cost Margin'!$H28),C$5),MIN(IF('Cost Margin'!$I28="",'Cost Margin'!$B$9,'Cost Margin'!$I28),C$6)))))</f>
        <v>0</v>
      </c>
      <c r="D20" s="34">
        <f>IF(OR(D$5="",'Cost Margin'!$A28="",IF('Cost Margin'!$H28="",'Cost Margin'!$B$8,'Cost Margin'!$H28)="",IF('Cost Margin'!$I28="",'Cost Margin'!$B$9,'Cost Margin'!$I28)=""),0,IF(MIN(IF('Cost Margin'!$I28="",'Cost Margin'!$B$9,'Cost Margin'!$I28),D$6)&lt;MAX(IF('Cost Margin'!$H28="",'Cost Margin'!$B$8,'Cost Margin'!$H28),D$5),0,IFERROR(NETWORKDAYS(MAX(IF('Cost Margin'!$H28="",'Cost Margin'!$B$8,'Cost Margin'!$H28),D$5),MIN(IF('Cost Margin'!$I28="",'Cost Margin'!$B$9,'Cost Margin'!$I28),D$6),INDEX(Settings!$J$7:$M$60,0,MATCH('Cost Margin'!$C28,Settings!$J$6:$M$6,0))),NETWORKDAYS(MAX(IF('Cost Margin'!$H28="",'Cost Margin'!$B$8,'Cost Margin'!$H28),D$5),MIN(IF('Cost Margin'!$I28="",'Cost Margin'!$B$9,'Cost Margin'!$I28),D$6)))))</f>
        <v>0</v>
      </c>
      <c r="E20" s="34">
        <f>IF(OR(E$5="",'Cost Margin'!$A28="",IF('Cost Margin'!$H28="",'Cost Margin'!$B$8,'Cost Margin'!$H28)="",IF('Cost Margin'!$I28="",'Cost Margin'!$B$9,'Cost Margin'!$I28)=""),0,IF(MIN(IF('Cost Margin'!$I28="",'Cost Margin'!$B$9,'Cost Margin'!$I28),E$6)&lt;MAX(IF('Cost Margin'!$H28="",'Cost Margin'!$B$8,'Cost Margin'!$H28),E$5),0,IFERROR(NETWORKDAYS(MAX(IF('Cost Margin'!$H28="",'Cost Margin'!$B$8,'Cost Margin'!$H28),E$5),MIN(IF('Cost Margin'!$I28="",'Cost Margin'!$B$9,'Cost Margin'!$I28),E$6),INDEX(Settings!$J$7:$M$60,0,MATCH('Cost Margin'!$C28,Settings!$J$6:$M$6,0))),NETWORKDAYS(MAX(IF('Cost Margin'!$H28="",'Cost Margin'!$B$8,'Cost Margin'!$H28),E$5),MIN(IF('Cost Margin'!$I28="",'Cost Margin'!$B$9,'Cost Margin'!$I28),E$6)))))</f>
        <v>0</v>
      </c>
      <c r="F20" s="34">
        <f>IF(OR(F$5="",'Cost Margin'!$A28="",IF('Cost Margin'!$H28="",'Cost Margin'!$B$8,'Cost Margin'!$H28)="",IF('Cost Margin'!$I28="",'Cost Margin'!$B$9,'Cost Margin'!$I28)=""),0,IF(MIN(IF('Cost Margin'!$I28="",'Cost Margin'!$B$9,'Cost Margin'!$I28),F$6)&lt;MAX(IF('Cost Margin'!$H28="",'Cost Margin'!$B$8,'Cost Margin'!$H28),F$5),0,IFERROR(NETWORKDAYS(MAX(IF('Cost Margin'!$H28="",'Cost Margin'!$B$8,'Cost Margin'!$H28),F$5),MIN(IF('Cost Margin'!$I28="",'Cost Margin'!$B$9,'Cost Margin'!$I28),F$6),INDEX(Settings!$J$7:$M$60,0,MATCH('Cost Margin'!$C28,Settings!$J$6:$M$6,0))),NETWORKDAYS(MAX(IF('Cost Margin'!$H28="",'Cost Margin'!$B$8,'Cost Margin'!$H28),F$5),MIN(IF('Cost Margin'!$I28="",'Cost Margin'!$B$9,'Cost Margin'!$I28),F$6)))))</f>
        <v>0</v>
      </c>
      <c r="G20" s="34">
        <f>IF(OR(G$5="",'Cost Margin'!$A28="",IF('Cost Margin'!$H28="",'Cost Margin'!$B$8,'Cost Margin'!$H28)="",IF('Cost Margin'!$I28="",'Cost Margin'!$B$9,'Cost Margin'!$I28)=""),0,IF(MIN(IF('Cost Margin'!$I28="",'Cost Margin'!$B$9,'Cost Margin'!$I28),G$6)&lt;MAX(IF('Cost Margin'!$H28="",'Cost Margin'!$B$8,'Cost Margin'!$H28),G$5),0,IFERROR(NETWORKDAYS(MAX(IF('Cost Margin'!$H28="",'Cost Margin'!$B$8,'Cost Margin'!$H28),G$5),MIN(IF('Cost Margin'!$I28="",'Cost Margin'!$B$9,'Cost Margin'!$I28),G$6),INDEX(Settings!$J$7:$M$60,0,MATCH('Cost Margin'!$C28,Settings!$J$6:$M$6,0))),NETWORKDAYS(MAX(IF('Cost Margin'!$H28="",'Cost Margin'!$B$8,'Cost Margin'!$H28),G$5),MIN(IF('Cost Margin'!$I28="",'Cost Margin'!$B$9,'Cost Margin'!$I28),G$6)))))</f>
        <v>0</v>
      </c>
      <c r="H20" s="34">
        <f>IF(OR(H$5="",'Cost Margin'!$A28="",IF('Cost Margin'!$H28="",'Cost Margin'!$B$8,'Cost Margin'!$H28)="",IF('Cost Margin'!$I28="",'Cost Margin'!$B$9,'Cost Margin'!$I28)=""),0,IF(MIN(IF('Cost Margin'!$I28="",'Cost Margin'!$B$9,'Cost Margin'!$I28),H$6)&lt;MAX(IF('Cost Margin'!$H28="",'Cost Margin'!$B$8,'Cost Margin'!$H28),H$5),0,IFERROR(NETWORKDAYS(MAX(IF('Cost Margin'!$H28="",'Cost Margin'!$B$8,'Cost Margin'!$H28),H$5),MIN(IF('Cost Margin'!$I28="",'Cost Margin'!$B$9,'Cost Margin'!$I28),H$6),INDEX(Settings!$J$7:$M$60,0,MATCH('Cost Margin'!$C28,Settings!$J$6:$M$6,0))),NETWORKDAYS(MAX(IF('Cost Margin'!$H28="",'Cost Margin'!$B$8,'Cost Margin'!$H28),H$5),MIN(IF('Cost Margin'!$I28="",'Cost Margin'!$B$9,'Cost Margin'!$I28),H$6)))))</f>
        <v>0</v>
      </c>
      <c r="I20" s="34">
        <f>IF(OR(I$5="",'Cost Margin'!$A28="",IF('Cost Margin'!$H28="",'Cost Margin'!$B$8,'Cost Margin'!$H28)="",IF('Cost Margin'!$I28="",'Cost Margin'!$B$9,'Cost Margin'!$I28)=""),0,IF(MIN(IF('Cost Margin'!$I28="",'Cost Margin'!$B$9,'Cost Margin'!$I28),I$6)&lt;MAX(IF('Cost Margin'!$H28="",'Cost Margin'!$B$8,'Cost Margin'!$H28),I$5),0,IFERROR(NETWORKDAYS(MAX(IF('Cost Margin'!$H28="",'Cost Margin'!$B$8,'Cost Margin'!$H28),I$5),MIN(IF('Cost Margin'!$I28="",'Cost Margin'!$B$9,'Cost Margin'!$I28),I$6),INDEX(Settings!$J$7:$M$60,0,MATCH('Cost Margin'!$C28,Settings!$J$6:$M$6,0))),NETWORKDAYS(MAX(IF('Cost Margin'!$H28="",'Cost Margin'!$B$8,'Cost Margin'!$H28),I$5),MIN(IF('Cost Margin'!$I28="",'Cost Margin'!$B$9,'Cost Margin'!$I28),I$6)))))</f>
        <v>0</v>
      </c>
      <c r="J20" s="34">
        <f>IF(OR(J$5="",'Cost Margin'!$A28="",IF('Cost Margin'!$H28="",'Cost Margin'!$B$8,'Cost Margin'!$H28)="",IF('Cost Margin'!$I28="",'Cost Margin'!$B$9,'Cost Margin'!$I28)=""),0,IF(MIN(IF('Cost Margin'!$I28="",'Cost Margin'!$B$9,'Cost Margin'!$I28),J$6)&lt;MAX(IF('Cost Margin'!$H28="",'Cost Margin'!$B$8,'Cost Margin'!$H28),J$5),0,IFERROR(NETWORKDAYS(MAX(IF('Cost Margin'!$H28="",'Cost Margin'!$B$8,'Cost Margin'!$H28),J$5),MIN(IF('Cost Margin'!$I28="",'Cost Margin'!$B$9,'Cost Margin'!$I28),J$6),INDEX(Settings!$J$7:$M$60,0,MATCH('Cost Margin'!$C28,Settings!$J$6:$M$6,0))),NETWORKDAYS(MAX(IF('Cost Margin'!$H28="",'Cost Margin'!$B$8,'Cost Margin'!$H28),J$5),MIN(IF('Cost Margin'!$I28="",'Cost Margin'!$B$9,'Cost Margin'!$I28),J$6)))))</f>
        <v>0</v>
      </c>
      <c r="K20" s="34">
        <f>IF(OR(K$5="",'Cost Margin'!$A28="",IF('Cost Margin'!$H28="",'Cost Margin'!$B$8,'Cost Margin'!$H28)="",IF('Cost Margin'!$I28="",'Cost Margin'!$B$9,'Cost Margin'!$I28)=""),0,IF(MIN(IF('Cost Margin'!$I28="",'Cost Margin'!$B$9,'Cost Margin'!$I28),K$6)&lt;MAX(IF('Cost Margin'!$H28="",'Cost Margin'!$B$8,'Cost Margin'!$H28),K$5),0,IFERROR(NETWORKDAYS(MAX(IF('Cost Margin'!$H28="",'Cost Margin'!$B$8,'Cost Margin'!$H28),K$5),MIN(IF('Cost Margin'!$I28="",'Cost Margin'!$B$9,'Cost Margin'!$I28),K$6),INDEX(Settings!$J$7:$M$60,0,MATCH('Cost Margin'!$C28,Settings!$J$6:$M$6,0))),NETWORKDAYS(MAX(IF('Cost Margin'!$H28="",'Cost Margin'!$B$8,'Cost Margin'!$H28),K$5),MIN(IF('Cost Margin'!$I28="",'Cost Margin'!$B$9,'Cost Margin'!$I28),K$6)))))</f>
        <v>0</v>
      </c>
      <c r="L20" s="34">
        <f>IF(OR(L$5="",'Cost Margin'!$A28="",IF('Cost Margin'!$H28="",'Cost Margin'!$B$8,'Cost Margin'!$H28)="",IF('Cost Margin'!$I28="",'Cost Margin'!$B$9,'Cost Margin'!$I28)=""),0,IF(MIN(IF('Cost Margin'!$I28="",'Cost Margin'!$B$9,'Cost Margin'!$I28),L$6)&lt;MAX(IF('Cost Margin'!$H28="",'Cost Margin'!$B$8,'Cost Margin'!$H28),L$5),0,IFERROR(NETWORKDAYS(MAX(IF('Cost Margin'!$H28="",'Cost Margin'!$B$8,'Cost Margin'!$H28),L$5),MIN(IF('Cost Margin'!$I28="",'Cost Margin'!$B$9,'Cost Margin'!$I28),L$6),INDEX(Settings!$J$7:$M$60,0,MATCH('Cost Margin'!$C28,Settings!$J$6:$M$6,0))),NETWORKDAYS(MAX(IF('Cost Margin'!$H28="",'Cost Margin'!$B$8,'Cost Margin'!$H28),L$5),MIN(IF('Cost Margin'!$I28="",'Cost Margin'!$B$9,'Cost Margin'!$I28),L$6)))))</f>
        <v>0</v>
      </c>
      <c r="M20" s="34">
        <f>IF(OR(M$5="",'Cost Margin'!$A28="",IF('Cost Margin'!$H28="",'Cost Margin'!$B$8,'Cost Margin'!$H28)="",IF('Cost Margin'!$I28="",'Cost Margin'!$B$9,'Cost Margin'!$I28)=""),0,IF(MIN(IF('Cost Margin'!$I28="",'Cost Margin'!$B$9,'Cost Margin'!$I28),M$6)&lt;MAX(IF('Cost Margin'!$H28="",'Cost Margin'!$B$8,'Cost Margin'!$H28),M$5),0,IFERROR(NETWORKDAYS(MAX(IF('Cost Margin'!$H28="",'Cost Margin'!$B$8,'Cost Margin'!$H28),M$5),MIN(IF('Cost Margin'!$I28="",'Cost Margin'!$B$9,'Cost Margin'!$I28),M$6),INDEX(Settings!$J$7:$M$60,0,MATCH('Cost Margin'!$C28,Settings!$J$6:$M$6,0))),NETWORKDAYS(MAX(IF('Cost Margin'!$H28="",'Cost Margin'!$B$8,'Cost Margin'!$H28),M$5),MIN(IF('Cost Margin'!$I28="",'Cost Margin'!$B$9,'Cost Margin'!$I28),M$6)))))</f>
        <v>0</v>
      </c>
      <c r="N20" s="34">
        <f>IF(OR(N$5="",'Cost Margin'!$A28="",IF('Cost Margin'!$H28="",'Cost Margin'!$B$8,'Cost Margin'!$H28)="",IF('Cost Margin'!$I28="",'Cost Margin'!$B$9,'Cost Margin'!$I28)=""),0,IF(MIN(IF('Cost Margin'!$I28="",'Cost Margin'!$B$9,'Cost Margin'!$I28),N$6)&lt;MAX(IF('Cost Margin'!$H28="",'Cost Margin'!$B$8,'Cost Margin'!$H28),N$5),0,IFERROR(NETWORKDAYS(MAX(IF('Cost Margin'!$H28="",'Cost Margin'!$B$8,'Cost Margin'!$H28),N$5),MIN(IF('Cost Margin'!$I28="",'Cost Margin'!$B$9,'Cost Margin'!$I28),N$6),INDEX(Settings!$J$7:$M$60,0,MATCH('Cost Margin'!$C28,Settings!$J$6:$M$6,0))),NETWORKDAYS(MAX(IF('Cost Margin'!$H28="",'Cost Margin'!$B$8,'Cost Margin'!$H28),N$5),MIN(IF('Cost Margin'!$I28="",'Cost Margin'!$B$9,'Cost Margin'!$I28),N$6)))))</f>
        <v>0</v>
      </c>
      <c r="O20" s="34">
        <f>IF(OR(O$5="",'Cost Margin'!$A28="",IF('Cost Margin'!$H28="",'Cost Margin'!$B$8,'Cost Margin'!$H28)="",IF('Cost Margin'!$I28="",'Cost Margin'!$B$9,'Cost Margin'!$I28)=""),0,IF(MIN(IF('Cost Margin'!$I28="",'Cost Margin'!$B$9,'Cost Margin'!$I28),O$6)&lt;MAX(IF('Cost Margin'!$H28="",'Cost Margin'!$B$8,'Cost Margin'!$H28),O$5),0,IFERROR(NETWORKDAYS(MAX(IF('Cost Margin'!$H28="",'Cost Margin'!$B$8,'Cost Margin'!$H28),O$5),MIN(IF('Cost Margin'!$I28="",'Cost Margin'!$B$9,'Cost Margin'!$I28),O$6),INDEX(Settings!$J$7:$M$60,0,MATCH('Cost Margin'!$C28,Settings!$J$6:$M$6,0))),NETWORKDAYS(MAX(IF('Cost Margin'!$H28="",'Cost Margin'!$B$8,'Cost Margin'!$H28),O$5),MIN(IF('Cost Margin'!$I28="",'Cost Margin'!$B$9,'Cost Margin'!$I28),O$6)))))</f>
        <v>0</v>
      </c>
      <c r="P20" s="34">
        <f>IF(OR(P$5="",'Cost Margin'!$A28="",IF('Cost Margin'!$H28="",'Cost Margin'!$B$8,'Cost Margin'!$H28)="",IF('Cost Margin'!$I28="",'Cost Margin'!$B$9,'Cost Margin'!$I28)=""),0,IF(MIN(IF('Cost Margin'!$I28="",'Cost Margin'!$B$9,'Cost Margin'!$I28),P$6)&lt;MAX(IF('Cost Margin'!$H28="",'Cost Margin'!$B$8,'Cost Margin'!$H28),P$5),0,IFERROR(NETWORKDAYS(MAX(IF('Cost Margin'!$H28="",'Cost Margin'!$B$8,'Cost Margin'!$H28),P$5),MIN(IF('Cost Margin'!$I28="",'Cost Margin'!$B$9,'Cost Margin'!$I28),P$6),INDEX(Settings!$J$7:$M$60,0,MATCH('Cost Margin'!$C28,Settings!$J$6:$M$6,0))),NETWORKDAYS(MAX(IF('Cost Margin'!$H28="",'Cost Margin'!$B$8,'Cost Margin'!$H28),P$5),MIN(IF('Cost Margin'!$I28="",'Cost Margin'!$B$9,'Cost Margin'!$I28),P$6)))))</f>
        <v>0</v>
      </c>
      <c r="Q20" s="34">
        <f>IF(OR(Q$5="",'Cost Margin'!$A28="",IF('Cost Margin'!$H28="",'Cost Margin'!$B$8,'Cost Margin'!$H28)="",IF('Cost Margin'!$I28="",'Cost Margin'!$B$9,'Cost Margin'!$I28)=""),0,IF(MIN(IF('Cost Margin'!$I28="",'Cost Margin'!$B$9,'Cost Margin'!$I28),Q$6)&lt;MAX(IF('Cost Margin'!$H28="",'Cost Margin'!$B$8,'Cost Margin'!$H28),Q$5),0,IFERROR(NETWORKDAYS(MAX(IF('Cost Margin'!$H28="",'Cost Margin'!$B$8,'Cost Margin'!$H28),Q$5),MIN(IF('Cost Margin'!$I28="",'Cost Margin'!$B$9,'Cost Margin'!$I28),Q$6),INDEX(Settings!$J$7:$M$60,0,MATCH('Cost Margin'!$C28,Settings!$J$6:$M$6,0))),NETWORKDAYS(MAX(IF('Cost Margin'!$H28="",'Cost Margin'!$B$8,'Cost Margin'!$H28),Q$5),MIN(IF('Cost Margin'!$I28="",'Cost Margin'!$B$9,'Cost Margin'!$I28),Q$6)))))</f>
        <v>0</v>
      </c>
      <c r="R20" s="34">
        <f>IF(OR(R$5="",'Cost Margin'!$A28="",IF('Cost Margin'!$H28="",'Cost Margin'!$B$8,'Cost Margin'!$H28)="",IF('Cost Margin'!$I28="",'Cost Margin'!$B$9,'Cost Margin'!$I28)=""),0,IF(MIN(IF('Cost Margin'!$I28="",'Cost Margin'!$B$9,'Cost Margin'!$I28),R$6)&lt;MAX(IF('Cost Margin'!$H28="",'Cost Margin'!$B$8,'Cost Margin'!$H28),R$5),0,IFERROR(NETWORKDAYS(MAX(IF('Cost Margin'!$H28="",'Cost Margin'!$B$8,'Cost Margin'!$H28),R$5),MIN(IF('Cost Margin'!$I28="",'Cost Margin'!$B$9,'Cost Margin'!$I28),R$6),INDEX(Settings!$J$7:$M$60,0,MATCH('Cost Margin'!$C28,Settings!$J$6:$M$6,0))),NETWORKDAYS(MAX(IF('Cost Margin'!$H28="",'Cost Margin'!$B$8,'Cost Margin'!$H28),R$5),MIN(IF('Cost Margin'!$I28="",'Cost Margin'!$B$9,'Cost Margin'!$I28),R$6)))))</f>
        <v>0</v>
      </c>
      <c r="S20" s="34">
        <f>IF(OR(S$5="",'Cost Margin'!$A28="",IF('Cost Margin'!$H28="",'Cost Margin'!$B$8,'Cost Margin'!$H28)="",IF('Cost Margin'!$I28="",'Cost Margin'!$B$9,'Cost Margin'!$I28)=""),0,IF(MIN(IF('Cost Margin'!$I28="",'Cost Margin'!$B$9,'Cost Margin'!$I28),S$6)&lt;MAX(IF('Cost Margin'!$H28="",'Cost Margin'!$B$8,'Cost Margin'!$H28),S$5),0,IFERROR(NETWORKDAYS(MAX(IF('Cost Margin'!$H28="",'Cost Margin'!$B$8,'Cost Margin'!$H28),S$5),MIN(IF('Cost Margin'!$I28="",'Cost Margin'!$B$9,'Cost Margin'!$I28),S$6),INDEX(Settings!$J$7:$M$60,0,MATCH('Cost Margin'!$C28,Settings!$J$6:$M$6,0))),NETWORKDAYS(MAX(IF('Cost Margin'!$H28="",'Cost Margin'!$B$8,'Cost Margin'!$H28),S$5),MIN(IF('Cost Margin'!$I28="",'Cost Margin'!$B$9,'Cost Margin'!$I28),S$6)))))</f>
        <v>0</v>
      </c>
      <c r="T20" s="34">
        <f>IF(OR(T$5="",'Cost Margin'!$A28="",IF('Cost Margin'!$H28="",'Cost Margin'!$B$8,'Cost Margin'!$H28)="",IF('Cost Margin'!$I28="",'Cost Margin'!$B$9,'Cost Margin'!$I28)=""),0,IF(MIN(IF('Cost Margin'!$I28="",'Cost Margin'!$B$9,'Cost Margin'!$I28),T$6)&lt;MAX(IF('Cost Margin'!$H28="",'Cost Margin'!$B$8,'Cost Margin'!$H28),T$5),0,IFERROR(NETWORKDAYS(MAX(IF('Cost Margin'!$H28="",'Cost Margin'!$B$8,'Cost Margin'!$H28),T$5),MIN(IF('Cost Margin'!$I28="",'Cost Margin'!$B$9,'Cost Margin'!$I28),T$6),INDEX(Settings!$J$7:$M$60,0,MATCH('Cost Margin'!$C28,Settings!$J$6:$M$6,0))),NETWORKDAYS(MAX(IF('Cost Margin'!$H28="",'Cost Margin'!$B$8,'Cost Margin'!$H28),T$5),MIN(IF('Cost Margin'!$I28="",'Cost Margin'!$B$9,'Cost Margin'!$I28),T$6)))))</f>
        <v>0</v>
      </c>
      <c r="U20" s="34">
        <f>IF(OR(U$5="",'Cost Margin'!$A28="",IF('Cost Margin'!$H28="",'Cost Margin'!$B$8,'Cost Margin'!$H28)="",IF('Cost Margin'!$I28="",'Cost Margin'!$B$9,'Cost Margin'!$I28)=""),0,IF(MIN(IF('Cost Margin'!$I28="",'Cost Margin'!$B$9,'Cost Margin'!$I28),U$6)&lt;MAX(IF('Cost Margin'!$H28="",'Cost Margin'!$B$8,'Cost Margin'!$H28),U$5),0,IFERROR(NETWORKDAYS(MAX(IF('Cost Margin'!$H28="",'Cost Margin'!$B$8,'Cost Margin'!$H28),U$5),MIN(IF('Cost Margin'!$I28="",'Cost Margin'!$B$9,'Cost Margin'!$I28),U$6),INDEX(Settings!$J$7:$M$60,0,MATCH('Cost Margin'!$C28,Settings!$J$6:$M$6,0))),NETWORKDAYS(MAX(IF('Cost Margin'!$H28="",'Cost Margin'!$B$8,'Cost Margin'!$H28),U$5),MIN(IF('Cost Margin'!$I28="",'Cost Margin'!$B$9,'Cost Margin'!$I28),U$6)))))</f>
        <v>0</v>
      </c>
      <c r="V20" s="34">
        <f>IF(OR(V$5="",'Cost Margin'!$A28="",IF('Cost Margin'!$H28="",'Cost Margin'!$B$8,'Cost Margin'!$H28)="",IF('Cost Margin'!$I28="",'Cost Margin'!$B$9,'Cost Margin'!$I28)=""),0,IF(MIN(IF('Cost Margin'!$I28="",'Cost Margin'!$B$9,'Cost Margin'!$I28),V$6)&lt;MAX(IF('Cost Margin'!$H28="",'Cost Margin'!$B$8,'Cost Margin'!$H28),V$5),0,IFERROR(NETWORKDAYS(MAX(IF('Cost Margin'!$H28="",'Cost Margin'!$B$8,'Cost Margin'!$H28),V$5),MIN(IF('Cost Margin'!$I28="",'Cost Margin'!$B$9,'Cost Margin'!$I28),V$6),INDEX(Settings!$J$7:$M$60,0,MATCH('Cost Margin'!$C28,Settings!$J$6:$M$6,0))),NETWORKDAYS(MAX(IF('Cost Margin'!$H28="",'Cost Margin'!$B$8,'Cost Margin'!$H28),V$5),MIN(IF('Cost Margin'!$I28="",'Cost Margin'!$B$9,'Cost Margin'!$I28),V$6)))))</f>
        <v>0</v>
      </c>
      <c r="W20" s="34">
        <f>IF(OR(W$5="",'Cost Margin'!$A28="",IF('Cost Margin'!$H28="",'Cost Margin'!$B$8,'Cost Margin'!$H28)="",IF('Cost Margin'!$I28="",'Cost Margin'!$B$9,'Cost Margin'!$I28)=""),0,IF(MIN(IF('Cost Margin'!$I28="",'Cost Margin'!$B$9,'Cost Margin'!$I28),W$6)&lt;MAX(IF('Cost Margin'!$H28="",'Cost Margin'!$B$8,'Cost Margin'!$H28),W$5),0,IFERROR(NETWORKDAYS(MAX(IF('Cost Margin'!$H28="",'Cost Margin'!$B$8,'Cost Margin'!$H28),W$5),MIN(IF('Cost Margin'!$I28="",'Cost Margin'!$B$9,'Cost Margin'!$I28),W$6),INDEX(Settings!$J$7:$M$60,0,MATCH('Cost Margin'!$C28,Settings!$J$6:$M$6,0))),NETWORKDAYS(MAX(IF('Cost Margin'!$H28="",'Cost Margin'!$B$8,'Cost Margin'!$H28),W$5),MIN(IF('Cost Margin'!$I28="",'Cost Margin'!$B$9,'Cost Margin'!$I28),W$6)))))</f>
        <v>0</v>
      </c>
      <c r="X20" s="34">
        <f>IF(OR(X$5="",'Cost Margin'!$A28="",IF('Cost Margin'!$H28="",'Cost Margin'!$B$8,'Cost Margin'!$H28)="",IF('Cost Margin'!$I28="",'Cost Margin'!$B$9,'Cost Margin'!$I28)=""),0,IF(MIN(IF('Cost Margin'!$I28="",'Cost Margin'!$B$9,'Cost Margin'!$I28),X$6)&lt;MAX(IF('Cost Margin'!$H28="",'Cost Margin'!$B$8,'Cost Margin'!$H28),X$5),0,IFERROR(NETWORKDAYS(MAX(IF('Cost Margin'!$H28="",'Cost Margin'!$B$8,'Cost Margin'!$H28),X$5),MIN(IF('Cost Margin'!$I28="",'Cost Margin'!$B$9,'Cost Margin'!$I28),X$6),INDEX(Settings!$J$7:$M$60,0,MATCH('Cost Margin'!$C28,Settings!$J$6:$M$6,0))),NETWORKDAYS(MAX(IF('Cost Margin'!$H28="",'Cost Margin'!$B$8,'Cost Margin'!$H28),X$5),MIN(IF('Cost Margin'!$I28="",'Cost Margin'!$B$9,'Cost Margin'!$I28),X$6)))))</f>
        <v>0</v>
      </c>
      <c r="Y20" s="34">
        <f>IF(OR(Y$5="",'Cost Margin'!$A28="",IF('Cost Margin'!$H28="",'Cost Margin'!$B$8,'Cost Margin'!$H28)="",IF('Cost Margin'!$I28="",'Cost Margin'!$B$9,'Cost Margin'!$I28)=""),0,IF(MIN(IF('Cost Margin'!$I28="",'Cost Margin'!$B$9,'Cost Margin'!$I28),Y$6)&lt;MAX(IF('Cost Margin'!$H28="",'Cost Margin'!$B$8,'Cost Margin'!$H28),Y$5),0,IFERROR(NETWORKDAYS(MAX(IF('Cost Margin'!$H28="",'Cost Margin'!$B$8,'Cost Margin'!$H28),Y$5),MIN(IF('Cost Margin'!$I28="",'Cost Margin'!$B$9,'Cost Margin'!$I28),Y$6),INDEX(Settings!$J$7:$M$60,0,MATCH('Cost Margin'!$C28,Settings!$J$6:$M$6,0))),NETWORKDAYS(MAX(IF('Cost Margin'!$H28="",'Cost Margin'!$B$8,'Cost Margin'!$H28),Y$5),MIN(IF('Cost Margin'!$I28="",'Cost Margin'!$B$9,'Cost Margin'!$I28),Y$6)))))</f>
        <v>0</v>
      </c>
      <c r="Z20" s="34">
        <f>IF(OR(Z$5="",'Cost Margin'!$A28="",IF('Cost Margin'!$H28="",'Cost Margin'!$B$8,'Cost Margin'!$H28)="",IF('Cost Margin'!$I28="",'Cost Margin'!$B$9,'Cost Margin'!$I28)=""),0,IF(MIN(IF('Cost Margin'!$I28="",'Cost Margin'!$B$9,'Cost Margin'!$I28),Z$6)&lt;MAX(IF('Cost Margin'!$H28="",'Cost Margin'!$B$8,'Cost Margin'!$H28),Z$5),0,IFERROR(NETWORKDAYS(MAX(IF('Cost Margin'!$H28="",'Cost Margin'!$B$8,'Cost Margin'!$H28),Z$5),MIN(IF('Cost Margin'!$I28="",'Cost Margin'!$B$9,'Cost Margin'!$I28),Z$6),INDEX(Settings!$J$7:$M$60,0,MATCH('Cost Margin'!$C28,Settings!$J$6:$M$6,0))),NETWORKDAYS(MAX(IF('Cost Margin'!$H28="",'Cost Margin'!$B$8,'Cost Margin'!$H28),Z$5),MIN(IF('Cost Margin'!$I28="",'Cost Margin'!$B$9,'Cost Margin'!$I28),Z$6)))))</f>
        <v>0</v>
      </c>
    </row>
    <row r="21" spans="1:26" x14ac:dyDescent="0.2">
      <c r="A21">
        <v>13</v>
      </c>
      <c r="B21" s="33" t="str">
        <f>IF('Cost Margin'!A29="","",'Cost Margin'!A29)</f>
        <v/>
      </c>
      <c r="C21" s="34">
        <f>IF(OR(C$5="",'Cost Margin'!$A29="",IF('Cost Margin'!$H29="",'Cost Margin'!$B$8,'Cost Margin'!$H29)="",IF('Cost Margin'!$I29="",'Cost Margin'!$B$9,'Cost Margin'!$I29)=""),0,IF(MIN(IF('Cost Margin'!$I29="",'Cost Margin'!$B$9,'Cost Margin'!$I29),C$6)&lt;MAX(IF('Cost Margin'!$H29="",'Cost Margin'!$B$8,'Cost Margin'!$H29),C$5),0,IFERROR(NETWORKDAYS(MAX(IF('Cost Margin'!$H29="",'Cost Margin'!$B$8,'Cost Margin'!$H29),C$5),MIN(IF('Cost Margin'!$I29="",'Cost Margin'!$B$9,'Cost Margin'!$I29),C$6),INDEX(Settings!$J$7:$M$60,0,MATCH('Cost Margin'!$C29,Settings!$J$6:$M$6,0))),NETWORKDAYS(MAX(IF('Cost Margin'!$H29="",'Cost Margin'!$B$8,'Cost Margin'!$H29),C$5),MIN(IF('Cost Margin'!$I29="",'Cost Margin'!$B$9,'Cost Margin'!$I29),C$6)))))</f>
        <v>0</v>
      </c>
      <c r="D21" s="34">
        <f>IF(OR(D$5="",'Cost Margin'!$A29="",IF('Cost Margin'!$H29="",'Cost Margin'!$B$8,'Cost Margin'!$H29)="",IF('Cost Margin'!$I29="",'Cost Margin'!$B$9,'Cost Margin'!$I29)=""),0,IF(MIN(IF('Cost Margin'!$I29="",'Cost Margin'!$B$9,'Cost Margin'!$I29),D$6)&lt;MAX(IF('Cost Margin'!$H29="",'Cost Margin'!$B$8,'Cost Margin'!$H29),D$5),0,IFERROR(NETWORKDAYS(MAX(IF('Cost Margin'!$H29="",'Cost Margin'!$B$8,'Cost Margin'!$H29),D$5),MIN(IF('Cost Margin'!$I29="",'Cost Margin'!$B$9,'Cost Margin'!$I29),D$6),INDEX(Settings!$J$7:$M$60,0,MATCH('Cost Margin'!$C29,Settings!$J$6:$M$6,0))),NETWORKDAYS(MAX(IF('Cost Margin'!$H29="",'Cost Margin'!$B$8,'Cost Margin'!$H29),D$5),MIN(IF('Cost Margin'!$I29="",'Cost Margin'!$B$9,'Cost Margin'!$I29),D$6)))))</f>
        <v>0</v>
      </c>
      <c r="E21" s="34">
        <f>IF(OR(E$5="",'Cost Margin'!$A29="",IF('Cost Margin'!$H29="",'Cost Margin'!$B$8,'Cost Margin'!$H29)="",IF('Cost Margin'!$I29="",'Cost Margin'!$B$9,'Cost Margin'!$I29)=""),0,IF(MIN(IF('Cost Margin'!$I29="",'Cost Margin'!$B$9,'Cost Margin'!$I29),E$6)&lt;MAX(IF('Cost Margin'!$H29="",'Cost Margin'!$B$8,'Cost Margin'!$H29),E$5),0,IFERROR(NETWORKDAYS(MAX(IF('Cost Margin'!$H29="",'Cost Margin'!$B$8,'Cost Margin'!$H29),E$5),MIN(IF('Cost Margin'!$I29="",'Cost Margin'!$B$9,'Cost Margin'!$I29),E$6),INDEX(Settings!$J$7:$M$60,0,MATCH('Cost Margin'!$C29,Settings!$J$6:$M$6,0))),NETWORKDAYS(MAX(IF('Cost Margin'!$H29="",'Cost Margin'!$B$8,'Cost Margin'!$H29),E$5),MIN(IF('Cost Margin'!$I29="",'Cost Margin'!$B$9,'Cost Margin'!$I29),E$6)))))</f>
        <v>0</v>
      </c>
      <c r="F21" s="34">
        <f>IF(OR(F$5="",'Cost Margin'!$A29="",IF('Cost Margin'!$H29="",'Cost Margin'!$B$8,'Cost Margin'!$H29)="",IF('Cost Margin'!$I29="",'Cost Margin'!$B$9,'Cost Margin'!$I29)=""),0,IF(MIN(IF('Cost Margin'!$I29="",'Cost Margin'!$B$9,'Cost Margin'!$I29),F$6)&lt;MAX(IF('Cost Margin'!$H29="",'Cost Margin'!$B$8,'Cost Margin'!$H29),F$5),0,IFERROR(NETWORKDAYS(MAX(IF('Cost Margin'!$H29="",'Cost Margin'!$B$8,'Cost Margin'!$H29),F$5),MIN(IF('Cost Margin'!$I29="",'Cost Margin'!$B$9,'Cost Margin'!$I29),F$6),INDEX(Settings!$J$7:$M$60,0,MATCH('Cost Margin'!$C29,Settings!$J$6:$M$6,0))),NETWORKDAYS(MAX(IF('Cost Margin'!$H29="",'Cost Margin'!$B$8,'Cost Margin'!$H29),F$5),MIN(IF('Cost Margin'!$I29="",'Cost Margin'!$B$9,'Cost Margin'!$I29),F$6)))))</f>
        <v>0</v>
      </c>
      <c r="G21" s="34">
        <f>IF(OR(G$5="",'Cost Margin'!$A29="",IF('Cost Margin'!$H29="",'Cost Margin'!$B$8,'Cost Margin'!$H29)="",IF('Cost Margin'!$I29="",'Cost Margin'!$B$9,'Cost Margin'!$I29)=""),0,IF(MIN(IF('Cost Margin'!$I29="",'Cost Margin'!$B$9,'Cost Margin'!$I29),G$6)&lt;MAX(IF('Cost Margin'!$H29="",'Cost Margin'!$B$8,'Cost Margin'!$H29),G$5),0,IFERROR(NETWORKDAYS(MAX(IF('Cost Margin'!$H29="",'Cost Margin'!$B$8,'Cost Margin'!$H29),G$5),MIN(IF('Cost Margin'!$I29="",'Cost Margin'!$B$9,'Cost Margin'!$I29),G$6),INDEX(Settings!$J$7:$M$60,0,MATCH('Cost Margin'!$C29,Settings!$J$6:$M$6,0))),NETWORKDAYS(MAX(IF('Cost Margin'!$H29="",'Cost Margin'!$B$8,'Cost Margin'!$H29),G$5),MIN(IF('Cost Margin'!$I29="",'Cost Margin'!$B$9,'Cost Margin'!$I29),G$6)))))</f>
        <v>0</v>
      </c>
      <c r="H21" s="34">
        <f>IF(OR(H$5="",'Cost Margin'!$A29="",IF('Cost Margin'!$H29="",'Cost Margin'!$B$8,'Cost Margin'!$H29)="",IF('Cost Margin'!$I29="",'Cost Margin'!$B$9,'Cost Margin'!$I29)=""),0,IF(MIN(IF('Cost Margin'!$I29="",'Cost Margin'!$B$9,'Cost Margin'!$I29),H$6)&lt;MAX(IF('Cost Margin'!$H29="",'Cost Margin'!$B$8,'Cost Margin'!$H29),H$5),0,IFERROR(NETWORKDAYS(MAX(IF('Cost Margin'!$H29="",'Cost Margin'!$B$8,'Cost Margin'!$H29),H$5),MIN(IF('Cost Margin'!$I29="",'Cost Margin'!$B$9,'Cost Margin'!$I29),H$6),INDEX(Settings!$J$7:$M$60,0,MATCH('Cost Margin'!$C29,Settings!$J$6:$M$6,0))),NETWORKDAYS(MAX(IF('Cost Margin'!$H29="",'Cost Margin'!$B$8,'Cost Margin'!$H29),H$5),MIN(IF('Cost Margin'!$I29="",'Cost Margin'!$B$9,'Cost Margin'!$I29),H$6)))))</f>
        <v>0</v>
      </c>
      <c r="I21" s="34">
        <f>IF(OR(I$5="",'Cost Margin'!$A29="",IF('Cost Margin'!$H29="",'Cost Margin'!$B$8,'Cost Margin'!$H29)="",IF('Cost Margin'!$I29="",'Cost Margin'!$B$9,'Cost Margin'!$I29)=""),0,IF(MIN(IF('Cost Margin'!$I29="",'Cost Margin'!$B$9,'Cost Margin'!$I29),I$6)&lt;MAX(IF('Cost Margin'!$H29="",'Cost Margin'!$B$8,'Cost Margin'!$H29),I$5),0,IFERROR(NETWORKDAYS(MAX(IF('Cost Margin'!$H29="",'Cost Margin'!$B$8,'Cost Margin'!$H29),I$5),MIN(IF('Cost Margin'!$I29="",'Cost Margin'!$B$9,'Cost Margin'!$I29),I$6),INDEX(Settings!$J$7:$M$60,0,MATCH('Cost Margin'!$C29,Settings!$J$6:$M$6,0))),NETWORKDAYS(MAX(IF('Cost Margin'!$H29="",'Cost Margin'!$B$8,'Cost Margin'!$H29),I$5),MIN(IF('Cost Margin'!$I29="",'Cost Margin'!$B$9,'Cost Margin'!$I29),I$6)))))</f>
        <v>0</v>
      </c>
      <c r="J21" s="34">
        <f>IF(OR(J$5="",'Cost Margin'!$A29="",IF('Cost Margin'!$H29="",'Cost Margin'!$B$8,'Cost Margin'!$H29)="",IF('Cost Margin'!$I29="",'Cost Margin'!$B$9,'Cost Margin'!$I29)=""),0,IF(MIN(IF('Cost Margin'!$I29="",'Cost Margin'!$B$9,'Cost Margin'!$I29),J$6)&lt;MAX(IF('Cost Margin'!$H29="",'Cost Margin'!$B$8,'Cost Margin'!$H29),J$5),0,IFERROR(NETWORKDAYS(MAX(IF('Cost Margin'!$H29="",'Cost Margin'!$B$8,'Cost Margin'!$H29),J$5),MIN(IF('Cost Margin'!$I29="",'Cost Margin'!$B$9,'Cost Margin'!$I29),J$6),INDEX(Settings!$J$7:$M$60,0,MATCH('Cost Margin'!$C29,Settings!$J$6:$M$6,0))),NETWORKDAYS(MAX(IF('Cost Margin'!$H29="",'Cost Margin'!$B$8,'Cost Margin'!$H29),J$5),MIN(IF('Cost Margin'!$I29="",'Cost Margin'!$B$9,'Cost Margin'!$I29),J$6)))))</f>
        <v>0</v>
      </c>
      <c r="K21" s="34">
        <f>IF(OR(K$5="",'Cost Margin'!$A29="",IF('Cost Margin'!$H29="",'Cost Margin'!$B$8,'Cost Margin'!$H29)="",IF('Cost Margin'!$I29="",'Cost Margin'!$B$9,'Cost Margin'!$I29)=""),0,IF(MIN(IF('Cost Margin'!$I29="",'Cost Margin'!$B$9,'Cost Margin'!$I29),K$6)&lt;MAX(IF('Cost Margin'!$H29="",'Cost Margin'!$B$8,'Cost Margin'!$H29),K$5),0,IFERROR(NETWORKDAYS(MAX(IF('Cost Margin'!$H29="",'Cost Margin'!$B$8,'Cost Margin'!$H29),K$5),MIN(IF('Cost Margin'!$I29="",'Cost Margin'!$B$9,'Cost Margin'!$I29),K$6),INDEX(Settings!$J$7:$M$60,0,MATCH('Cost Margin'!$C29,Settings!$J$6:$M$6,0))),NETWORKDAYS(MAX(IF('Cost Margin'!$H29="",'Cost Margin'!$B$8,'Cost Margin'!$H29),K$5),MIN(IF('Cost Margin'!$I29="",'Cost Margin'!$B$9,'Cost Margin'!$I29),K$6)))))</f>
        <v>0</v>
      </c>
      <c r="L21" s="34">
        <f>IF(OR(L$5="",'Cost Margin'!$A29="",IF('Cost Margin'!$H29="",'Cost Margin'!$B$8,'Cost Margin'!$H29)="",IF('Cost Margin'!$I29="",'Cost Margin'!$B$9,'Cost Margin'!$I29)=""),0,IF(MIN(IF('Cost Margin'!$I29="",'Cost Margin'!$B$9,'Cost Margin'!$I29),L$6)&lt;MAX(IF('Cost Margin'!$H29="",'Cost Margin'!$B$8,'Cost Margin'!$H29),L$5),0,IFERROR(NETWORKDAYS(MAX(IF('Cost Margin'!$H29="",'Cost Margin'!$B$8,'Cost Margin'!$H29),L$5),MIN(IF('Cost Margin'!$I29="",'Cost Margin'!$B$9,'Cost Margin'!$I29),L$6),INDEX(Settings!$J$7:$M$60,0,MATCH('Cost Margin'!$C29,Settings!$J$6:$M$6,0))),NETWORKDAYS(MAX(IF('Cost Margin'!$H29="",'Cost Margin'!$B$8,'Cost Margin'!$H29),L$5),MIN(IF('Cost Margin'!$I29="",'Cost Margin'!$B$9,'Cost Margin'!$I29),L$6)))))</f>
        <v>0</v>
      </c>
      <c r="M21" s="34">
        <f>IF(OR(M$5="",'Cost Margin'!$A29="",IF('Cost Margin'!$H29="",'Cost Margin'!$B$8,'Cost Margin'!$H29)="",IF('Cost Margin'!$I29="",'Cost Margin'!$B$9,'Cost Margin'!$I29)=""),0,IF(MIN(IF('Cost Margin'!$I29="",'Cost Margin'!$B$9,'Cost Margin'!$I29),M$6)&lt;MAX(IF('Cost Margin'!$H29="",'Cost Margin'!$B$8,'Cost Margin'!$H29),M$5),0,IFERROR(NETWORKDAYS(MAX(IF('Cost Margin'!$H29="",'Cost Margin'!$B$8,'Cost Margin'!$H29),M$5),MIN(IF('Cost Margin'!$I29="",'Cost Margin'!$B$9,'Cost Margin'!$I29),M$6),INDEX(Settings!$J$7:$M$60,0,MATCH('Cost Margin'!$C29,Settings!$J$6:$M$6,0))),NETWORKDAYS(MAX(IF('Cost Margin'!$H29="",'Cost Margin'!$B$8,'Cost Margin'!$H29),M$5),MIN(IF('Cost Margin'!$I29="",'Cost Margin'!$B$9,'Cost Margin'!$I29),M$6)))))</f>
        <v>0</v>
      </c>
      <c r="N21" s="34">
        <f>IF(OR(N$5="",'Cost Margin'!$A29="",IF('Cost Margin'!$H29="",'Cost Margin'!$B$8,'Cost Margin'!$H29)="",IF('Cost Margin'!$I29="",'Cost Margin'!$B$9,'Cost Margin'!$I29)=""),0,IF(MIN(IF('Cost Margin'!$I29="",'Cost Margin'!$B$9,'Cost Margin'!$I29),N$6)&lt;MAX(IF('Cost Margin'!$H29="",'Cost Margin'!$B$8,'Cost Margin'!$H29),N$5),0,IFERROR(NETWORKDAYS(MAX(IF('Cost Margin'!$H29="",'Cost Margin'!$B$8,'Cost Margin'!$H29),N$5),MIN(IF('Cost Margin'!$I29="",'Cost Margin'!$B$9,'Cost Margin'!$I29),N$6),INDEX(Settings!$J$7:$M$60,0,MATCH('Cost Margin'!$C29,Settings!$J$6:$M$6,0))),NETWORKDAYS(MAX(IF('Cost Margin'!$H29="",'Cost Margin'!$B$8,'Cost Margin'!$H29),N$5),MIN(IF('Cost Margin'!$I29="",'Cost Margin'!$B$9,'Cost Margin'!$I29),N$6)))))</f>
        <v>0</v>
      </c>
      <c r="O21" s="34">
        <f>IF(OR(O$5="",'Cost Margin'!$A29="",IF('Cost Margin'!$H29="",'Cost Margin'!$B$8,'Cost Margin'!$H29)="",IF('Cost Margin'!$I29="",'Cost Margin'!$B$9,'Cost Margin'!$I29)=""),0,IF(MIN(IF('Cost Margin'!$I29="",'Cost Margin'!$B$9,'Cost Margin'!$I29),O$6)&lt;MAX(IF('Cost Margin'!$H29="",'Cost Margin'!$B$8,'Cost Margin'!$H29),O$5),0,IFERROR(NETWORKDAYS(MAX(IF('Cost Margin'!$H29="",'Cost Margin'!$B$8,'Cost Margin'!$H29),O$5),MIN(IF('Cost Margin'!$I29="",'Cost Margin'!$B$9,'Cost Margin'!$I29),O$6),INDEX(Settings!$J$7:$M$60,0,MATCH('Cost Margin'!$C29,Settings!$J$6:$M$6,0))),NETWORKDAYS(MAX(IF('Cost Margin'!$H29="",'Cost Margin'!$B$8,'Cost Margin'!$H29),O$5),MIN(IF('Cost Margin'!$I29="",'Cost Margin'!$B$9,'Cost Margin'!$I29),O$6)))))</f>
        <v>0</v>
      </c>
      <c r="P21" s="34">
        <f>IF(OR(P$5="",'Cost Margin'!$A29="",IF('Cost Margin'!$H29="",'Cost Margin'!$B$8,'Cost Margin'!$H29)="",IF('Cost Margin'!$I29="",'Cost Margin'!$B$9,'Cost Margin'!$I29)=""),0,IF(MIN(IF('Cost Margin'!$I29="",'Cost Margin'!$B$9,'Cost Margin'!$I29),P$6)&lt;MAX(IF('Cost Margin'!$H29="",'Cost Margin'!$B$8,'Cost Margin'!$H29),P$5),0,IFERROR(NETWORKDAYS(MAX(IF('Cost Margin'!$H29="",'Cost Margin'!$B$8,'Cost Margin'!$H29),P$5),MIN(IF('Cost Margin'!$I29="",'Cost Margin'!$B$9,'Cost Margin'!$I29),P$6),INDEX(Settings!$J$7:$M$60,0,MATCH('Cost Margin'!$C29,Settings!$J$6:$M$6,0))),NETWORKDAYS(MAX(IF('Cost Margin'!$H29="",'Cost Margin'!$B$8,'Cost Margin'!$H29),P$5),MIN(IF('Cost Margin'!$I29="",'Cost Margin'!$B$9,'Cost Margin'!$I29),P$6)))))</f>
        <v>0</v>
      </c>
      <c r="Q21" s="34">
        <f>IF(OR(Q$5="",'Cost Margin'!$A29="",IF('Cost Margin'!$H29="",'Cost Margin'!$B$8,'Cost Margin'!$H29)="",IF('Cost Margin'!$I29="",'Cost Margin'!$B$9,'Cost Margin'!$I29)=""),0,IF(MIN(IF('Cost Margin'!$I29="",'Cost Margin'!$B$9,'Cost Margin'!$I29),Q$6)&lt;MAX(IF('Cost Margin'!$H29="",'Cost Margin'!$B$8,'Cost Margin'!$H29),Q$5),0,IFERROR(NETWORKDAYS(MAX(IF('Cost Margin'!$H29="",'Cost Margin'!$B$8,'Cost Margin'!$H29),Q$5),MIN(IF('Cost Margin'!$I29="",'Cost Margin'!$B$9,'Cost Margin'!$I29),Q$6),INDEX(Settings!$J$7:$M$60,0,MATCH('Cost Margin'!$C29,Settings!$J$6:$M$6,0))),NETWORKDAYS(MAX(IF('Cost Margin'!$H29="",'Cost Margin'!$B$8,'Cost Margin'!$H29),Q$5),MIN(IF('Cost Margin'!$I29="",'Cost Margin'!$B$9,'Cost Margin'!$I29),Q$6)))))</f>
        <v>0</v>
      </c>
      <c r="R21" s="34">
        <f>IF(OR(R$5="",'Cost Margin'!$A29="",IF('Cost Margin'!$H29="",'Cost Margin'!$B$8,'Cost Margin'!$H29)="",IF('Cost Margin'!$I29="",'Cost Margin'!$B$9,'Cost Margin'!$I29)=""),0,IF(MIN(IF('Cost Margin'!$I29="",'Cost Margin'!$B$9,'Cost Margin'!$I29),R$6)&lt;MAX(IF('Cost Margin'!$H29="",'Cost Margin'!$B$8,'Cost Margin'!$H29),R$5),0,IFERROR(NETWORKDAYS(MAX(IF('Cost Margin'!$H29="",'Cost Margin'!$B$8,'Cost Margin'!$H29),R$5),MIN(IF('Cost Margin'!$I29="",'Cost Margin'!$B$9,'Cost Margin'!$I29),R$6),INDEX(Settings!$J$7:$M$60,0,MATCH('Cost Margin'!$C29,Settings!$J$6:$M$6,0))),NETWORKDAYS(MAX(IF('Cost Margin'!$H29="",'Cost Margin'!$B$8,'Cost Margin'!$H29),R$5),MIN(IF('Cost Margin'!$I29="",'Cost Margin'!$B$9,'Cost Margin'!$I29),R$6)))))</f>
        <v>0</v>
      </c>
      <c r="S21" s="34">
        <f>IF(OR(S$5="",'Cost Margin'!$A29="",IF('Cost Margin'!$H29="",'Cost Margin'!$B$8,'Cost Margin'!$H29)="",IF('Cost Margin'!$I29="",'Cost Margin'!$B$9,'Cost Margin'!$I29)=""),0,IF(MIN(IF('Cost Margin'!$I29="",'Cost Margin'!$B$9,'Cost Margin'!$I29),S$6)&lt;MAX(IF('Cost Margin'!$H29="",'Cost Margin'!$B$8,'Cost Margin'!$H29),S$5),0,IFERROR(NETWORKDAYS(MAX(IF('Cost Margin'!$H29="",'Cost Margin'!$B$8,'Cost Margin'!$H29),S$5),MIN(IF('Cost Margin'!$I29="",'Cost Margin'!$B$9,'Cost Margin'!$I29),S$6),INDEX(Settings!$J$7:$M$60,0,MATCH('Cost Margin'!$C29,Settings!$J$6:$M$6,0))),NETWORKDAYS(MAX(IF('Cost Margin'!$H29="",'Cost Margin'!$B$8,'Cost Margin'!$H29),S$5),MIN(IF('Cost Margin'!$I29="",'Cost Margin'!$B$9,'Cost Margin'!$I29),S$6)))))</f>
        <v>0</v>
      </c>
      <c r="T21" s="34">
        <f>IF(OR(T$5="",'Cost Margin'!$A29="",IF('Cost Margin'!$H29="",'Cost Margin'!$B$8,'Cost Margin'!$H29)="",IF('Cost Margin'!$I29="",'Cost Margin'!$B$9,'Cost Margin'!$I29)=""),0,IF(MIN(IF('Cost Margin'!$I29="",'Cost Margin'!$B$9,'Cost Margin'!$I29),T$6)&lt;MAX(IF('Cost Margin'!$H29="",'Cost Margin'!$B$8,'Cost Margin'!$H29),T$5),0,IFERROR(NETWORKDAYS(MAX(IF('Cost Margin'!$H29="",'Cost Margin'!$B$8,'Cost Margin'!$H29),T$5),MIN(IF('Cost Margin'!$I29="",'Cost Margin'!$B$9,'Cost Margin'!$I29),T$6),INDEX(Settings!$J$7:$M$60,0,MATCH('Cost Margin'!$C29,Settings!$J$6:$M$6,0))),NETWORKDAYS(MAX(IF('Cost Margin'!$H29="",'Cost Margin'!$B$8,'Cost Margin'!$H29),T$5),MIN(IF('Cost Margin'!$I29="",'Cost Margin'!$B$9,'Cost Margin'!$I29),T$6)))))</f>
        <v>0</v>
      </c>
      <c r="U21" s="34">
        <f>IF(OR(U$5="",'Cost Margin'!$A29="",IF('Cost Margin'!$H29="",'Cost Margin'!$B$8,'Cost Margin'!$H29)="",IF('Cost Margin'!$I29="",'Cost Margin'!$B$9,'Cost Margin'!$I29)=""),0,IF(MIN(IF('Cost Margin'!$I29="",'Cost Margin'!$B$9,'Cost Margin'!$I29),U$6)&lt;MAX(IF('Cost Margin'!$H29="",'Cost Margin'!$B$8,'Cost Margin'!$H29),U$5),0,IFERROR(NETWORKDAYS(MAX(IF('Cost Margin'!$H29="",'Cost Margin'!$B$8,'Cost Margin'!$H29),U$5),MIN(IF('Cost Margin'!$I29="",'Cost Margin'!$B$9,'Cost Margin'!$I29),U$6),INDEX(Settings!$J$7:$M$60,0,MATCH('Cost Margin'!$C29,Settings!$J$6:$M$6,0))),NETWORKDAYS(MAX(IF('Cost Margin'!$H29="",'Cost Margin'!$B$8,'Cost Margin'!$H29),U$5),MIN(IF('Cost Margin'!$I29="",'Cost Margin'!$B$9,'Cost Margin'!$I29),U$6)))))</f>
        <v>0</v>
      </c>
      <c r="V21" s="34">
        <f>IF(OR(V$5="",'Cost Margin'!$A29="",IF('Cost Margin'!$H29="",'Cost Margin'!$B$8,'Cost Margin'!$H29)="",IF('Cost Margin'!$I29="",'Cost Margin'!$B$9,'Cost Margin'!$I29)=""),0,IF(MIN(IF('Cost Margin'!$I29="",'Cost Margin'!$B$9,'Cost Margin'!$I29),V$6)&lt;MAX(IF('Cost Margin'!$H29="",'Cost Margin'!$B$8,'Cost Margin'!$H29),V$5),0,IFERROR(NETWORKDAYS(MAX(IF('Cost Margin'!$H29="",'Cost Margin'!$B$8,'Cost Margin'!$H29),V$5),MIN(IF('Cost Margin'!$I29="",'Cost Margin'!$B$9,'Cost Margin'!$I29),V$6),INDEX(Settings!$J$7:$M$60,0,MATCH('Cost Margin'!$C29,Settings!$J$6:$M$6,0))),NETWORKDAYS(MAX(IF('Cost Margin'!$H29="",'Cost Margin'!$B$8,'Cost Margin'!$H29),V$5),MIN(IF('Cost Margin'!$I29="",'Cost Margin'!$B$9,'Cost Margin'!$I29),V$6)))))</f>
        <v>0</v>
      </c>
      <c r="W21" s="34">
        <f>IF(OR(W$5="",'Cost Margin'!$A29="",IF('Cost Margin'!$H29="",'Cost Margin'!$B$8,'Cost Margin'!$H29)="",IF('Cost Margin'!$I29="",'Cost Margin'!$B$9,'Cost Margin'!$I29)=""),0,IF(MIN(IF('Cost Margin'!$I29="",'Cost Margin'!$B$9,'Cost Margin'!$I29),W$6)&lt;MAX(IF('Cost Margin'!$H29="",'Cost Margin'!$B$8,'Cost Margin'!$H29),W$5),0,IFERROR(NETWORKDAYS(MAX(IF('Cost Margin'!$H29="",'Cost Margin'!$B$8,'Cost Margin'!$H29),W$5),MIN(IF('Cost Margin'!$I29="",'Cost Margin'!$B$9,'Cost Margin'!$I29),W$6),INDEX(Settings!$J$7:$M$60,0,MATCH('Cost Margin'!$C29,Settings!$J$6:$M$6,0))),NETWORKDAYS(MAX(IF('Cost Margin'!$H29="",'Cost Margin'!$B$8,'Cost Margin'!$H29),W$5),MIN(IF('Cost Margin'!$I29="",'Cost Margin'!$B$9,'Cost Margin'!$I29),W$6)))))</f>
        <v>0</v>
      </c>
      <c r="X21" s="34">
        <f>IF(OR(X$5="",'Cost Margin'!$A29="",IF('Cost Margin'!$H29="",'Cost Margin'!$B$8,'Cost Margin'!$H29)="",IF('Cost Margin'!$I29="",'Cost Margin'!$B$9,'Cost Margin'!$I29)=""),0,IF(MIN(IF('Cost Margin'!$I29="",'Cost Margin'!$B$9,'Cost Margin'!$I29),X$6)&lt;MAX(IF('Cost Margin'!$H29="",'Cost Margin'!$B$8,'Cost Margin'!$H29),X$5),0,IFERROR(NETWORKDAYS(MAX(IF('Cost Margin'!$H29="",'Cost Margin'!$B$8,'Cost Margin'!$H29),X$5),MIN(IF('Cost Margin'!$I29="",'Cost Margin'!$B$9,'Cost Margin'!$I29),X$6),INDEX(Settings!$J$7:$M$60,0,MATCH('Cost Margin'!$C29,Settings!$J$6:$M$6,0))),NETWORKDAYS(MAX(IF('Cost Margin'!$H29="",'Cost Margin'!$B$8,'Cost Margin'!$H29),X$5),MIN(IF('Cost Margin'!$I29="",'Cost Margin'!$B$9,'Cost Margin'!$I29),X$6)))))</f>
        <v>0</v>
      </c>
      <c r="Y21" s="34">
        <f>IF(OR(Y$5="",'Cost Margin'!$A29="",IF('Cost Margin'!$H29="",'Cost Margin'!$B$8,'Cost Margin'!$H29)="",IF('Cost Margin'!$I29="",'Cost Margin'!$B$9,'Cost Margin'!$I29)=""),0,IF(MIN(IF('Cost Margin'!$I29="",'Cost Margin'!$B$9,'Cost Margin'!$I29),Y$6)&lt;MAX(IF('Cost Margin'!$H29="",'Cost Margin'!$B$8,'Cost Margin'!$H29),Y$5),0,IFERROR(NETWORKDAYS(MAX(IF('Cost Margin'!$H29="",'Cost Margin'!$B$8,'Cost Margin'!$H29),Y$5),MIN(IF('Cost Margin'!$I29="",'Cost Margin'!$B$9,'Cost Margin'!$I29),Y$6),INDEX(Settings!$J$7:$M$60,0,MATCH('Cost Margin'!$C29,Settings!$J$6:$M$6,0))),NETWORKDAYS(MAX(IF('Cost Margin'!$H29="",'Cost Margin'!$B$8,'Cost Margin'!$H29),Y$5),MIN(IF('Cost Margin'!$I29="",'Cost Margin'!$B$9,'Cost Margin'!$I29),Y$6)))))</f>
        <v>0</v>
      </c>
      <c r="Z21" s="34">
        <f>IF(OR(Z$5="",'Cost Margin'!$A29="",IF('Cost Margin'!$H29="",'Cost Margin'!$B$8,'Cost Margin'!$H29)="",IF('Cost Margin'!$I29="",'Cost Margin'!$B$9,'Cost Margin'!$I29)=""),0,IF(MIN(IF('Cost Margin'!$I29="",'Cost Margin'!$B$9,'Cost Margin'!$I29),Z$6)&lt;MAX(IF('Cost Margin'!$H29="",'Cost Margin'!$B$8,'Cost Margin'!$H29),Z$5),0,IFERROR(NETWORKDAYS(MAX(IF('Cost Margin'!$H29="",'Cost Margin'!$B$8,'Cost Margin'!$H29),Z$5),MIN(IF('Cost Margin'!$I29="",'Cost Margin'!$B$9,'Cost Margin'!$I29),Z$6),INDEX(Settings!$J$7:$M$60,0,MATCH('Cost Margin'!$C29,Settings!$J$6:$M$6,0))),NETWORKDAYS(MAX(IF('Cost Margin'!$H29="",'Cost Margin'!$B$8,'Cost Margin'!$H29),Z$5),MIN(IF('Cost Margin'!$I29="",'Cost Margin'!$B$9,'Cost Margin'!$I29),Z$6)))))</f>
        <v>0</v>
      </c>
    </row>
    <row r="22" spans="1:26" x14ac:dyDescent="0.2">
      <c r="A22">
        <v>14</v>
      </c>
      <c r="B22" s="33" t="str">
        <f>IF('Cost Margin'!A30="","",'Cost Margin'!A30)</f>
        <v/>
      </c>
      <c r="C22" s="34">
        <f>IF(OR(C$5="",'Cost Margin'!$A30="",IF('Cost Margin'!$H30="",'Cost Margin'!$B$8,'Cost Margin'!$H30)="",IF('Cost Margin'!$I30="",'Cost Margin'!$B$9,'Cost Margin'!$I30)=""),0,IF(MIN(IF('Cost Margin'!$I30="",'Cost Margin'!$B$9,'Cost Margin'!$I30),C$6)&lt;MAX(IF('Cost Margin'!$H30="",'Cost Margin'!$B$8,'Cost Margin'!$H30),C$5),0,IFERROR(NETWORKDAYS(MAX(IF('Cost Margin'!$H30="",'Cost Margin'!$B$8,'Cost Margin'!$H30),C$5),MIN(IF('Cost Margin'!$I30="",'Cost Margin'!$B$9,'Cost Margin'!$I30),C$6),INDEX(Settings!$J$7:$M$60,0,MATCH('Cost Margin'!$C30,Settings!$J$6:$M$6,0))),NETWORKDAYS(MAX(IF('Cost Margin'!$H30="",'Cost Margin'!$B$8,'Cost Margin'!$H30),C$5),MIN(IF('Cost Margin'!$I30="",'Cost Margin'!$B$9,'Cost Margin'!$I30),C$6)))))</f>
        <v>0</v>
      </c>
      <c r="D22" s="34">
        <f>IF(OR(D$5="",'Cost Margin'!$A30="",IF('Cost Margin'!$H30="",'Cost Margin'!$B$8,'Cost Margin'!$H30)="",IF('Cost Margin'!$I30="",'Cost Margin'!$B$9,'Cost Margin'!$I30)=""),0,IF(MIN(IF('Cost Margin'!$I30="",'Cost Margin'!$B$9,'Cost Margin'!$I30),D$6)&lt;MAX(IF('Cost Margin'!$H30="",'Cost Margin'!$B$8,'Cost Margin'!$H30),D$5),0,IFERROR(NETWORKDAYS(MAX(IF('Cost Margin'!$H30="",'Cost Margin'!$B$8,'Cost Margin'!$H30),D$5),MIN(IF('Cost Margin'!$I30="",'Cost Margin'!$B$9,'Cost Margin'!$I30),D$6),INDEX(Settings!$J$7:$M$60,0,MATCH('Cost Margin'!$C30,Settings!$J$6:$M$6,0))),NETWORKDAYS(MAX(IF('Cost Margin'!$H30="",'Cost Margin'!$B$8,'Cost Margin'!$H30),D$5),MIN(IF('Cost Margin'!$I30="",'Cost Margin'!$B$9,'Cost Margin'!$I30),D$6)))))</f>
        <v>0</v>
      </c>
      <c r="E22" s="34">
        <f>IF(OR(E$5="",'Cost Margin'!$A30="",IF('Cost Margin'!$H30="",'Cost Margin'!$B$8,'Cost Margin'!$H30)="",IF('Cost Margin'!$I30="",'Cost Margin'!$B$9,'Cost Margin'!$I30)=""),0,IF(MIN(IF('Cost Margin'!$I30="",'Cost Margin'!$B$9,'Cost Margin'!$I30),E$6)&lt;MAX(IF('Cost Margin'!$H30="",'Cost Margin'!$B$8,'Cost Margin'!$H30),E$5),0,IFERROR(NETWORKDAYS(MAX(IF('Cost Margin'!$H30="",'Cost Margin'!$B$8,'Cost Margin'!$H30),E$5),MIN(IF('Cost Margin'!$I30="",'Cost Margin'!$B$9,'Cost Margin'!$I30),E$6),INDEX(Settings!$J$7:$M$60,0,MATCH('Cost Margin'!$C30,Settings!$J$6:$M$6,0))),NETWORKDAYS(MAX(IF('Cost Margin'!$H30="",'Cost Margin'!$B$8,'Cost Margin'!$H30),E$5),MIN(IF('Cost Margin'!$I30="",'Cost Margin'!$B$9,'Cost Margin'!$I30),E$6)))))</f>
        <v>0</v>
      </c>
      <c r="F22" s="34">
        <f>IF(OR(F$5="",'Cost Margin'!$A30="",IF('Cost Margin'!$H30="",'Cost Margin'!$B$8,'Cost Margin'!$H30)="",IF('Cost Margin'!$I30="",'Cost Margin'!$B$9,'Cost Margin'!$I30)=""),0,IF(MIN(IF('Cost Margin'!$I30="",'Cost Margin'!$B$9,'Cost Margin'!$I30),F$6)&lt;MAX(IF('Cost Margin'!$H30="",'Cost Margin'!$B$8,'Cost Margin'!$H30),F$5),0,IFERROR(NETWORKDAYS(MAX(IF('Cost Margin'!$H30="",'Cost Margin'!$B$8,'Cost Margin'!$H30),F$5),MIN(IF('Cost Margin'!$I30="",'Cost Margin'!$B$9,'Cost Margin'!$I30),F$6),INDEX(Settings!$J$7:$M$60,0,MATCH('Cost Margin'!$C30,Settings!$J$6:$M$6,0))),NETWORKDAYS(MAX(IF('Cost Margin'!$H30="",'Cost Margin'!$B$8,'Cost Margin'!$H30),F$5),MIN(IF('Cost Margin'!$I30="",'Cost Margin'!$B$9,'Cost Margin'!$I30),F$6)))))</f>
        <v>0</v>
      </c>
      <c r="G22" s="34">
        <f>IF(OR(G$5="",'Cost Margin'!$A30="",IF('Cost Margin'!$H30="",'Cost Margin'!$B$8,'Cost Margin'!$H30)="",IF('Cost Margin'!$I30="",'Cost Margin'!$B$9,'Cost Margin'!$I30)=""),0,IF(MIN(IF('Cost Margin'!$I30="",'Cost Margin'!$B$9,'Cost Margin'!$I30),G$6)&lt;MAX(IF('Cost Margin'!$H30="",'Cost Margin'!$B$8,'Cost Margin'!$H30),G$5),0,IFERROR(NETWORKDAYS(MAX(IF('Cost Margin'!$H30="",'Cost Margin'!$B$8,'Cost Margin'!$H30),G$5),MIN(IF('Cost Margin'!$I30="",'Cost Margin'!$B$9,'Cost Margin'!$I30),G$6),INDEX(Settings!$J$7:$M$60,0,MATCH('Cost Margin'!$C30,Settings!$J$6:$M$6,0))),NETWORKDAYS(MAX(IF('Cost Margin'!$H30="",'Cost Margin'!$B$8,'Cost Margin'!$H30),G$5),MIN(IF('Cost Margin'!$I30="",'Cost Margin'!$B$9,'Cost Margin'!$I30),G$6)))))</f>
        <v>0</v>
      </c>
      <c r="H22" s="34">
        <f>IF(OR(H$5="",'Cost Margin'!$A30="",IF('Cost Margin'!$H30="",'Cost Margin'!$B$8,'Cost Margin'!$H30)="",IF('Cost Margin'!$I30="",'Cost Margin'!$B$9,'Cost Margin'!$I30)=""),0,IF(MIN(IF('Cost Margin'!$I30="",'Cost Margin'!$B$9,'Cost Margin'!$I30),H$6)&lt;MAX(IF('Cost Margin'!$H30="",'Cost Margin'!$B$8,'Cost Margin'!$H30),H$5),0,IFERROR(NETWORKDAYS(MAX(IF('Cost Margin'!$H30="",'Cost Margin'!$B$8,'Cost Margin'!$H30),H$5),MIN(IF('Cost Margin'!$I30="",'Cost Margin'!$B$9,'Cost Margin'!$I30),H$6),INDEX(Settings!$J$7:$M$60,0,MATCH('Cost Margin'!$C30,Settings!$J$6:$M$6,0))),NETWORKDAYS(MAX(IF('Cost Margin'!$H30="",'Cost Margin'!$B$8,'Cost Margin'!$H30),H$5),MIN(IF('Cost Margin'!$I30="",'Cost Margin'!$B$9,'Cost Margin'!$I30),H$6)))))</f>
        <v>0</v>
      </c>
      <c r="I22" s="34">
        <f>IF(OR(I$5="",'Cost Margin'!$A30="",IF('Cost Margin'!$H30="",'Cost Margin'!$B$8,'Cost Margin'!$H30)="",IF('Cost Margin'!$I30="",'Cost Margin'!$B$9,'Cost Margin'!$I30)=""),0,IF(MIN(IF('Cost Margin'!$I30="",'Cost Margin'!$B$9,'Cost Margin'!$I30),I$6)&lt;MAX(IF('Cost Margin'!$H30="",'Cost Margin'!$B$8,'Cost Margin'!$H30),I$5),0,IFERROR(NETWORKDAYS(MAX(IF('Cost Margin'!$H30="",'Cost Margin'!$B$8,'Cost Margin'!$H30),I$5),MIN(IF('Cost Margin'!$I30="",'Cost Margin'!$B$9,'Cost Margin'!$I30),I$6),INDEX(Settings!$J$7:$M$60,0,MATCH('Cost Margin'!$C30,Settings!$J$6:$M$6,0))),NETWORKDAYS(MAX(IF('Cost Margin'!$H30="",'Cost Margin'!$B$8,'Cost Margin'!$H30),I$5),MIN(IF('Cost Margin'!$I30="",'Cost Margin'!$B$9,'Cost Margin'!$I30),I$6)))))</f>
        <v>0</v>
      </c>
      <c r="J22" s="34">
        <f>IF(OR(J$5="",'Cost Margin'!$A30="",IF('Cost Margin'!$H30="",'Cost Margin'!$B$8,'Cost Margin'!$H30)="",IF('Cost Margin'!$I30="",'Cost Margin'!$B$9,'Cost Margin'!$I30)=""),0,IF(MIN(IF('Cost Margin'!$I30="",'Cost Margin'!$B$9,'Cost Margin'!$I30),J$6)&lt;MAX(IF('Cost Margin'!$H30="",'Cost Margin'!$B$8,'Cost Margin'!$H30),J$5),0,IFERROR(NETWORKDAYS(MAX(IF('Cost Margin'!$H30="",'Cost Margin'!$B$8,'Cost Margin'!$H30),J$5),MIN(IF('Cost Margin'!$I30="",'Cost Margin'!$B$9,'Cost Margin'!$I30),J$6),INDEX(Settings!$J$7:$M$60,0,MATCH('Cost Margin'!$C30,Settings!$J$6:$M$6,0))),NETWORKDAYS(MAX(IF('Cost Margin'!$H30="",'Cost Margin'!$B$8,'Cost Margin'!$H30),J$5),MIN(IF('Cost Margin'!$I30="",'Cost Margin'!$B$9,'Cost Margin'!$I30),J$6)))))</f>
        <v>0</v>
      </c>
      <c r="K22" s="34">
        <f>IF(OR(K$5="",'Cost Margin'!$A30="",IF('Cost Margin'!$H30="",'Cost Margin'!$B$8,'Cost Margin'!$H30)="",IF('Cost Margin'!$I30="",'Cost Margin'!$B$9,'Cost Margin'!$I30)=""),0,IF(MIN(IF('Cost Margin'!$I30="",'Cost Margin'!$B$9,'Cost Margin'!$I30),K$6)&lt;MAX(IF('Cost Margin'!$H30="",'Cost Margin'!$B$8,'Cost Margin'!$H30),K$5),0,IFERROR(NETWORKDAYS(MAX(IF('Cost Margin'!$H30="",'Cost Margin'!$B$8,'Cost Margin'!$H30),K$5),MIN(IF('Cost Margin'!$I30="",'Cost Margin'!$B$9,'Cost Margin'!$I30),K$6),INDEX(Settings!$J$7:$M$60,0,MATCH('Cost Margin'!$C30,Settings!$J$6:$M$6,0))),NETWORKDAYS(MAX(IF('Cost Margin'!$H30="",'Cost Margin'!$B$8,'Cost Margin'!$H30),K$5),MIN(IF('Cost Margin'!$I30="",'Cost Margin'!$B$9,'Cost Margin'!$I30),K$6)))))</f>
        <v>0</v>
      </c>
      <c r="L22" s="34">
        <f>IF(OR(L$5="",'Cost Margin'!$A30="",IF('Cost Margin'!$H30="",'Cost Margin'!$B$8,'Cost Margin'!$H30)="",IF('Cost Margin'!$I30="",'Cost Margin'!$B$9,'Cost Margin'!$I30)=""),0,IF(MIN(IF('Cost Margin'!$I30="",'Cost Margin'!$B$9,'Cost Margin'!$I30),L$6)&lt;MAX(IF('Cost Margin'!$H30="",'Cost Margin'!$B$8,'Cost Margin'!$H30),L$5),0,IFERROR(NETWORKDAYS(MAX(IF('Cost Margin'!$H30="",'Cost Margin'!$B$8,'Cost Margin'!$H30),L$5),MIN(IF('Cost Margin'!$I30="",'Cost Margin'!$B$9,'Cost Margin'!$I30),L$6),INDEX(Settings!$J$7:$M$60,0,MATCH('Cost Margin'!$C30,Settings!$J$6:$M$6,0))),NETWORKDAYS(MAX(IF('Cost Margin'!$H30="",'Cost Margin'!$B$8,'Cost Margin'!$H30),L$5),MIN(IF('Cost Margin'!$I30="",'Cost Margin'!$B$9,'Cost Margin'!$I30),L$6)))))</f>
        <v>0</v>
      </c>
      <c r="M22" s="34">
        <f>IF(OR(M$5="",'Cost Margin'!$A30="",IF('Cost Margin'!$H30="",'Cost Margin'!$B$8,'Cost Margin'!$H30)="",IF('Cost Margin'!$I30="",'Cost Margin'!$B$9,'Cost Margin'!$I30)=""),0,IF(MIN(IF('Cost Margin'!$I30="",'Cost Margin'!$B$9,'Cost Margin'!$I30),M$6)&lt;MAX(IF('Cost Margin'!$H30="",'Cost Margin'!$B$8,'Cost Margin'!$H30),M$5),0,IFERROR(NETWORKDAYS(MAX(IF('Cost Margin'!$H30="",'Cost Margin'!$B$8,'Cost Margin'!$H30),M$5),MIN(IF('Cost Margin'!$I30="",'Cost Margin'!$B$9,'Cost Margin'!$I30),M$6),INDEX(Settings!$J$7:$M$60,0,MATCH('Cost Margin'!$C30,Settings!$J$6:$M$6,0))),NETWORKDAYS(MAX(IF('Cost Margin'!$H30="",'Cost Margin'!$B$8,'Cost Margin'!$H30),M$5),MIN(IF('Cost Margin'!$I30="",'Cost Margin'!$B$9,'Cost Margin'!$I30),M$6)))))</f>
        <v>0</v>
      </c>
      <c r="N22" s="34">
        <f>IF(OR(N$5="",'Cost Margin'!$A30="",IF('Cost Margin'!$H30="",'Cost Margin'!$B$8,'Cost Margin'!$H30)="",IF('Cost Margin'!$I30="",'Cost Margin'!$B$9,'Cost Margin'!$I30)=""),0,IF(MIN(IF('Cost Margin'!$I30="",'Cost Margin'!$B$9,'Cost Margin'!$I30),N$6)&lt;MAX(IF('Cost Margin'!$H30="",'Cost Margin'!$B$8,'Cost Margin'!$H30),N$5),0,IFERROR(NETWORKDAYS(MAX(IF('Cost Margin'!$H30="",'Cost Margin'!$B$8,'Cost Margin'!$H30),N$5),MIN(IF('Cost Margin'!$I30="",'Cost Margin'!$B$9,'Cost Margin'!$I30),N$6),INDEX(Settings!$J$7:$M$60,0,MATCH('Cost Margin'!$C30,Settings!$J$6:$M$6,0))),NETWORKDAYS(MAX(IF('Cost Margin'!$H30="",'Cost Margin'!$B$8,'Cost Margin'!$H30),N$5),MIN(IF('Cost Margin'!$I30="",'Cost Margin'!$B$9,'Cost Margin'!$I30),N$6)))))</f>
        <v>0</v>
      </c>
      <c r="O22" s="34">
        <f>IF(OR(O$5="",'Cost Margin'!$A30="",IF('Cost Margin'!$H30="",'Cost Margin'!$B$8,'Cost Margin'!$H30)="",IF('Cost Margin'!$I30="",'Cost Margin'!$B$9,'Cost Margin'!$I30)=""),0,IF(MIN(IF('Cost Margin'!$I30="",'Cost Margin'!$B$9,'Cost Margin'!$I30),O$6)&lt;MAX(IF('Cost Margin'!$H30="",'Cost Margin'!$B$8,'Cost Margin'!$H30),O$5),0,IFERROR(NETWORKDAYS(MAX(IF('Cost Margin'!$H30="",'Cost Margin'!$B$8,'Cost Margin'!$H30),O$5),MIN(IF('Cost Margin'!$I30="",'Cost Margin'!$B$9,'Cost Margin'!$I30),O$6),INDEX(Settings!$J$7:$M$60,0,MATCH('Cost Margin'!$C30,Settings!$J$6:$M$6,0))),NETWORKDAYS(MAX(IF('Cost Margin'!$H30="",'Cost Margin'!$B$8,'Cost Margin'!$H30),O$5),MIN(IF('Cost Margin'!$I30="",'Cost Margin'!$B$9,'Cost Margin'!$I30),O$6)))))</f>
        <v>0</v>
      </c>
      <c r="P22" s="34">
        <f>IF(OR(P$5="",'Cost Margin'!$A30="",IF('Cost Margin'!$H30="",'Cost Margin'!$B$8,'Cost Margin'!$H30)="",IF('Cost Margin'!$I30="",'Cost Margin'!$B$9,'Cost Margin'!$I30)=""),0,IF(MIN(IF('Cost Margin'!$I30="",'Cost Margin'!$B$9,'Cost Margin'!$I30),P$6)&lt;MAX(IF('Cost Margin'!$H30="",'Cost Margin'!$B$8,'Cost Margin'!$H30),P$5),0,IFERROR(NETWORKDAYS(MAX(IF('Cost Margin'!$H30="",'Cost Margin'!$B$8,'Cost Margin'!$H30),P$5),MIN(IF('Cost Margin'!$I30="",'Cost Margin'!$B$9,'Cost Margin'!$I30),P$6),INDEX(Settings!$J$7:$M$60,0,MATCH('Cost Margin'!$C30,Settings!$J$6:$M$6,0))),NETWORKDAYS(MAX(IF('Cost Margin'!$H30="",'Cost Margin'!$B$8,'Cost Margin'!$H30),P$5),MIN(IF('Cost Margin'!$I30="",'Cost Margin'!$B$9,'Cost Margin'!$I30),P$6)))))</f>
        <v>0</v>
      </c>
      <c r="Q22" s="34">
        <f>IF(OR(Q$5="",'Cost Margin'!$A30="",IF('Cost Margin'!$H30="",'Cost Margin'!$B$8,'Cost Margin'!$H30)="",IF('Cost Margin'!$I30="",'Cost Margin'!$B$9,'Cost Margin'!$I30)=""),0,IF(MIN(IF('Cost Margin'!$I30="",'Cost Margin'!$B$9,'Cost Margin'!$I30),Q$6)&lt;MAX(IF('Cost Margin'!$H30="",'Cost Margin'!$B$8,'Cost Margin'!$H30),Q$5),0,IFERROR(NETWORKDAYS(MAX(IF('Cost Margin'!$H30="",'Cost Margin'!$B$8,'Cost Margin'!$H30),Q$5),MIN(IF('Cost Margin'!$I30="",'Cost Margin'!$B$9,'Cost Margin'!$I30),Q$6),INDEX(Settings!$J$7:$M$60,0,MATCH('Cost Margin'!$C30,Settings!$J$6:$M$6,0))),NETWORKDAYS(MAX(IF('Cost Margin'!$H30="",'Cost Margin'!$B$8,'Cost Margin'!$H30),Q$5),MIN(IF('Cost Margin'!$I30="",'Cost Margin'!$B$9,'Cost Margin'!$I30),Q$6)))))</f>
        <v>0</v>
      </c>
      <c r="R22" s="34">
        <f>IF(OR(R$5="",'Cost Margin'!$A30="",IF('Cost Margin'!$H30="",'Cost Margin'!$B$8,'Cost Margin'!$H30)="",IF('Cost Margin'!$I30="",'Cost Margin'!$B$9,'Cost Margin'!$I30)=""),0,IF(MIN(IF('Cost Margin'!$I30="",'Cost Margin'!$B$9,'Cost Margin'!$I30),R$6)&lt;MAX(IF('Cost Margin'!$H30="",'Cost Margin'!$B$8,'Cost Margin'!$H30),R$5),0,IFERROR(NETWORKDAYS(MAX(IF('Cost Margin'!$H30="",'Cost Margin'!$B$8,'Cost Margin'!$H30),R$5),MIN(IF('Cost Margin'!$I30="",'Cost Margin'!$B$9,'Cost Margin'!$I30),R$6),INDEX(Settings!$J$7:$M$60,0,MATCH('Cost Margin'!$C30,Settings!$J$6:$M$6,0))),NETWORKDAYS(MAX(IF('Cost Margin'!$H30="",'Cost Margin'!$B$8,'Cost Margin'!$H30),R$5),MIN(IF('Cost Margin'!$I30="",'Cost Margin'!$B$9,'Cost Margin'!$I30),R$6)))))</f>
        <v>0</v>
      </c>
      <c r="S22" s="34">
        <f>IF(OR(S$5="",'Cost Margin'!$A30="",IF('Cost Margin'!$H30="",'Cost Margin'!$B$8,'Cost Margin'!$H30)="",IF('Cost Margin'!$I30="",'Cost Margin'!$B$9,'Cost Margin'!$I30)=""),0,IF(MIN(IF('Cost Margin'!$I30="",'Cost Margin'!$B$9,'Cost Margin'!$I30),S$6)&lt;MAX(IF('Cost Margin'!$H30="",'Cost Margin'!$B$8,'Cost Margin'!$H30),S$5),0,IFERROR(NETWORKDAYS(MAX(IF('Cost Margin'!$H30="",'Cost Margin'!$B$8,'Cost Margin'!$H30),S$5),MIN(IF('Cost Margin'!$I30="",'Cost Margin'!$B$9,'Cost Margin'!$I30),S$6),INDEX(Settings!$J$7:$M$60,0,MATCH('Cost Margin'!$C30,Settings!$J$6:$M$6,0))),NETWORKDAYS(MAX(IF('Cost Margin'!$H30="",'Cost Margin'!$B$8,'Cost Margin'!$H30),S$5),MIN(IF('Cost Margin'!$I30="",'Cost Margin'!$B$9,'Cost Margin'!$I30),S$6)))))</f>
        <v>0</v>
      </c>
      <c r="T22" s="34">
        <f>IF(OR(T$5="",'Cost Margin'!$A30="",IF('Cost Margin'!$H30="",'Cost Margin'!$B$8,'Cost Margin'!$H30)="",IF('Cost Margin'!$I30="",'Cost Margin'!$B$9,'Cost Margin'!$I30)=""),0,IF(MIN(IF('Cost Margin'!$I30="",'Cost Margin'!$B$9,'Cost Margin'!$I30),T$6)&lt;MAX(IF('Cost Margin'!$H30="",'Cost Margin'!$B$8,'Cost Margin'!$H30),T$5),0,IFERROR(NETWORKDAYS(MAX(IF('Cost Margin'!$H30="",'Cost Margin'!$B$8,'Cost Margin'!$H30),T$5),MIN(IF('Cost Margin'!$I30="",'Cost Margin'!$B$9,'Cost Margin'!$I30),T$6),INDEX(Settings!$J$7:$M$60,0,MATCH('Cost Margin'!$C30,Settings!$J$6:$M$6,0))),NETWORKDAYS(MAX(IF('Cost Margin'!$H30="",'Cost Margin'!$B$8,'Cost Margin'!$H30),T$5),MIN(IF('Cost Margin'!$I30="",'Cost Margin'!$B$9,'Cost Margin'!$I30),T$6)))))</f>
        <v>0</v>
      </c>
      <c r="U22" s="34">
        <f>IF(OR(U$5="",'Cost Margin'!$A30="",IF('Cost Margin'!$H30="",'Cost Margin'!$B$8,'Cost Margin'!$H30)="",IF('Cost Margin'!$I30="",'Cost Margin'!$B$9,'Cost Margin'!$I30)=""),0,IF(MIN(IF('Cost Margin'!$I30="",'Cost Margin'!$B$9,'Cost Margin'!$I30),U$6)&lt;MAX(IF('Cost Margin'!$H30="",'Cost Margin'!$B$8,'Cost Margin'!$H30),U$5),0,IFERROR(NETWORKDAYS(MAX(IF('Cost Margin'!$H30="",'Cost Margin'!$B$8,'Cost Margin'!$H30),U$5),MIN(IF('Cost Margin'!$I30="",'Cost Margin'!$B$9,'Cost Margin'!$I30),U$6),INDEX(Settings!$J$7:$M$60,0,MATCH('Cost Margin'!$C30,Settings!$J$6:$M$6,0))),NETWORKDAYS(MAX(IF('Cost Margin'!$H30="",'Cost Margin'!$B$8,'Cost Margin'!$H30),U$5),MIN(IF('Cost Margin'!$I30="",'Cost Margin'!$B$9,'Cost Margin'!$I30),U$6)))))</f>
        <v>0</v>
      </c>
      <c r="V22" s="34">
        <f>IF(OR(V$5="",'Cost Margin'!$A30="",IF('Cost Margin'!$H30="",'Cost Margin'!$B$8,'Cost Margin'!$H30)="",IF('Cost Margin'!$I30="",'Cost Margin'!$B$9,'Cost Margin'!$I30)=""),0,IF(MIN(IF('Cost Margin'!$I30="",'Cost Margin'!$B$9,'Cost Margin'!$I30),V$6)&lt;MAX(IF('Cost Margin'!$H30="",'Cost Margin'!$B$8,'Cost Margin'!$H30),V$5),0,IFERROR(NETWORKDAYS(MAX(IF('Cost Margin'!$H30="",'Cost Margin'!$B$8,'Cost Margin'!$H30),V$5),MIN(IF('Cost Margin'!$I30="",'Cost Margin'!$B$9,'Cost Margin'!$I30),V$6),INDEX(Settings!$J$7:$M$60,0,MATCH('Cost Margin'!$C30,Settings!$J$6:$M$6,0))),NETWORKDAYS(MAX(IF('Cost Margin'!$H30="",'Cost Margin'!$B$8,'Cost Margin'!$H30),V$5),MIN(IF('Cost Margin'!$I30="",'Cost Margin'!$B$9,'Cost Margin'!$I30),V$6)))))</f>
        <v>0</v>
      </c>
      <c r="W22" s="34">
        <f>IF(OR(W$5="",'Cost Margin'!$A30="",IF('Cost Margin'!$H30="",'Cost Margin'!$B$8,'Cost Margin'!$H30)="",IF('Cost Margin'!$I30="",'Cost Margin'!$B$9,'Cost Margin'!$I30)=""),0,IF(MIN(IF('Cost Margin'!$I30="",'Cost Margin'!$B$9,'Cost Margin'!$I30),W$6)&lt;MAX(IF('Cost Margin'!$H30="",'Cost Margin'!$B$8,'Cost Margin'!$H30),W$5),0,IFERROR(NETWORKDAYS(MAX(IF('Cost Margin'!$H30="",'Cost Margin'!$B$8,'Cost Margin'!$H30),W$5),MIN(IF('Cost Margin'!$I30="",'Cost Margin'!$B$9,'Cost Margin'!$I30),W$6),INDEX(Settings!$J$7:$M$60,0,MATCH('Cost Margin'!$C30,Settings!$J$6:$M$6,0))),NETWORKDAYS(MAX(IF('Cost Margin'!$H30="",'Cost Margin'!$B$8,'Cost Margin'!$H30),W$5),MIN(IF('Cost Margin'!$I30="",'Cost Margin'!$B$9,'Cost Margin'!$I30),W$6)))))</f>
        <v>0</v>
      </c>
      <c r="X22" s="34">
        <f>IF(OR(X$5="",'Cost Margin'!$A30="",IF('Cost Margin'!$H30="",'Cost Margin'!$B$8,'Cost Margin'!$H30)="",IF('Cost Margin'!$I30="",'Cost Margin'!$B$9,'Cost Margin'!$I30)=""),0,IF(MIN(IF('Cost Margin'!$I30="",'Cost Margin'!$B$9,'Cost Margin'!$I30),X$6)&lt;MAX(IF('Cost Margin'!$H30="",'Cost Margin'!$B$8,'Cost Margin'!$H30),X$5),0,IFERROR(NETWORKDAYS(MAX(IF('Cost Margin'!$H30="",'Cost Margin'!$B$8,'Cost Margin'!$H30),X$5),MIN(IF('Cost Margin'!$I30="",'Cost Margin'!$B$9,'Cost Margin'!$I30),X$6),INDEX(Settings!$J$7:$M$60,0,MATCH('Cost Margin'!$C30,Settings!$J$6:$M$6,0))),NETWORKDAYS(MAX(IF('Cost Margin'!$H30="",'Cost Margin'!$B$8,'Cost Margin'!$H30),X$5),MIN(IF('Cost Margin'!$I30="",'Cost Margin'!$B$9,'Cost Margin'!$I30),X$6)))))</f>
        <v>0</v>
      </c>
      <c r="Y22" s="34">
        <f>IF(OR(Y$5="",'Cost Margin'!$A30="",IF('Cost Margin'!$H30="",'Cost Margin'!$B$8,'Cost Margin'!$H30)="",IF('Cost Margin'!$I30="",'Cost Margin'!$B$9,'Cost Margin'!$I30)=""),0,IF(MIN(IF('Cost Margin'!$I30="",'Cost Margin'!$B$9,'Cost Margin'!$I30),Y$6)&lt;MAX(IF('Cost Margin'!$H30="",'Cost Margin'!$B$8,'Cost Margin'!$H30),Y$5),0,IFERROR(NETWORKDAYS(MAX(IF('Cost Margin'!$H30="",'Cost Margin'!$B$8,'Cost Margin'!$H30),Y$5),MIN(IF('Cost Margin'!$I30="",'Cost Margin'!$B$9,'Cost Margin'!$I30),Y$6),INDEX(Settings!$J$7:$M$60,0,MATCH('Cost Margin'!$C30,Settings!$J$6:$M$6,0))),NETWORKDAYS(MAX(IF('Cost Margin'!$H30="",'Cost Margin'!$B$8,'Cost Margin'!$H30),Y$5),MIN(IF('Cost Margin'!$I30="",'Cost Margin'!$B$9,'Cost Margin'!$I30),Y$6)))))</f>
        <v>0</v>
      </c>
      <c r="Z22" s="34">
        <f>IF(OR(Z$5="",'Cost Margin'!$A30="",IF('Cost Margin'!$H30="",'Cost Margin'!$B$8,'Cost Margin'!$H30)="",IF('Cost Margin'!$I30="",'Cost Margin'!$B$9,'Cost Margin'!$I30)=""),0,IF(MIN(IF('Cost Margin'!$I30="",'Cost Margin'!$B$9,'Cost Margin'!$I30),Z$6)&lt;MAX(IF('Cost Margin'!$H30="",'Cost Margin'!$B$8,'Cost Margin'!$H30),Z$5),0,IFERROR(NETWORKDAYS(MAX(IF('Cost Margin'!$H30="",'Cost Margin'!$B$8,'Cost Margin'!$H30),Z$5),MIN(IF('Cost Margin'!$I30="",'Cost Margin'!$B$9,'Cost Margin'!$I30),Z$6),INDEX(Settings!$J$7:$M$60,0,MATCH('Cost Margin'!$C30,Settings!$J$6:$M$6,0))),NETWORKDAYS(MAX(IF('Cost Margin'!$H30="",'Cost Margin'!$B$8,'Cost Margin'!$H30),Z$5),MIN(IF('Cost Margin'!$I30="",'Cost Margin'!$B$9,'Cost Margin'!$I30),Z$6)))))</f>
        <v>0</v>
      </c>
    </row>
    <row r="23" spans="1:26" x14ac:dyDescent="0.2">
      <c r="A23">
        <v>15</v>
      </c>
      <c r="B23" s="33" t="str">
        <f>IF('Cost Margin'!A31="","",'Cost Margin'!A31)</f>
        <v/>
      </c>
      <c r="C23" s="34">
        <f>IF(OR(C$5="",'Cost Margin'!$A31="",IF('Cost Margin'!$H31="",'Cost Margin'!$B$8,'Cost Margin'!$H31)="",IF('Cost Margin'!$I31="",'Cost Margin'!$B$9,'Cost Margin'!$I31)=""),0,IF(MIN(IF('Cost Margin'!$I31="",'Cost Margin'!$B$9,'Cost Margin'!$I31),C$6)&lt;MAX(IF('Cost Margin'!$H31="",'Cost Margin'!$B$8,'Cost Margin'!$H31),C$5),0,IFERROR(NETWORKDAYS(MAX(IF('Cost Margin'!$H31="",'Cost Margin'!$B$8,'Cost Margin'!$H31),C$5),MIN(IF('Cost Margin'!$I31="",'Cost Margin'!$B$9,'Cost Margin'!$I31),C$6),INDEX(Settings!$J$7:$M$60,0,MATCH('Cost Margin'!$C31,Settings!$J$6:$M$6,0))),NETWORKDAYS(MAX(IF('Cost Margin'!$H31="",'Cost Margin'!$B$8,'Cost Margin'!$H31),C$5),MIN(IF('Cost Margin'!$I31="",'Cost Margin'!$B$9,'Cost Margin'!$I31),C$6)))))</f>
        <v>0</v>
      </c>
      <c r="D23" s="34">
        <f>IF(OR(D$5="",'Cost Margin'!$A31="",IF('Cost Margin'!$H31="",'Cost Margin'!$B$8,'Cost Margin'!$H31)="",IF('Cost Margin'!$I31="",'Cost Margin'!$B$9,'Cost Margin'!$I31)=""),0,IF(MIN(IF('Cost Margin'!$I31="",'Cost Margin'!$B$9,'Cost Margin'!$I31),D$6)&lt;MAX(IF('Cost Margin'!$H31="",'Cost Margin'!$B$8,'Cost Margin'!$H31),D$5),0,IFERROR(NETWORKDAYS(MAX(IF('Cost Margin'!$H31="",'Cost Margin'!$B$8,'Cost Margin'!$H31),D$5),MIN(IF('Cost Margin'!$I31="",'Cost Margin'!$B$9,'Cost Margin'!$I31),D$6),INDEX(Settings!$J$7:$M$60,0,MATCH('Cost Margin'!$C31,Settings!$J$6:$M$6,0))),NETWORKDAYS(MAX(IF('Cost Margin'!$H31="",'Cost Margin'!$B$8,'Cost Margin'!$H31),D$5),MIN(IF('Cost Margin'!$I31="",'Cost Margin'!$B$9,'Cost Margin'!$I31),D$6)))))</f>
        <v>0</v>
      </c>
      <c r="E23" s="34">
        <f>IF(OR(E$5="",'Cost Margin'!$A31="",IF('Cost Margin'!$H31="",'Cost Margin'!$B$8,'Cost Margin'!$H31)="",IF('Cost Margin'!$I31="",'Cost Margin'!$B$9,'Cost Margin'!$I31)=""),0,IF(MIN(IF('Cost Margin'!$I31="",'Cost Margin'!$B$9,'Cost Margin'!$I31),E$6)&lt;MAX(IF('Cost Margin'!$H31="",'Cost Margin'!$B$8,'Cost Margin'!$H31),E$5),0,IFERROR(NETWORKDAYS(MAX(IF('Cost Margin'!$H31="",'Cost Margin'!$B$8,'Cost Margin'!$H31),E$5),MIN(IF('Cost Margin'!$I31="",'Cost Margin'!$B$9,'Cost Margin'!$I31),E$6),INDEX(Settings!$J$7:$M$60,0,MATCH('Cost Margin'!$C31,Settings!$J$6:$M$6,0))),NETWORKDAYS(MAX(IF('Cost Margin'!$H31="",'Cost Margin'!$B$8,'Cost Margin'!$H31),E$5),MIN(IF('Cost Margin'!$I31="",'Cost Margin'!$B$9,'Cost Margin'!$I31),E$6)))))</f>
        <v>0</v>
      </c>
      <c r="F23" s="34">
        <f>IF(OR(F$5="",'Cost Margin'!$A31="",IF('Cost Margin'!$H31="",'Cost Margin'!$B$8,'Cost Margin'!$H31)="",IF('Cost Margin'!$I31="",'Cost Margin'!$B$9,'Cost Margin'!$I31)=""),0,IF(MIN(IF('Cost Margin'!$I31="",'Cost Margin'!$B$9,'Cost Margin'!$I31),F$6)&lt;MAX(IF('Cost Margin'!$H31="",'Cost Margin'!$B$8,'Cost Margin'!$H31),F$5),0,IFERROR(NETWORKDAYS(MAX(IF('Cost Margin'!$H31="",'Cost Margin'!$B$8,'Cost Margin'!$H31),F$5),MIN(IF('Cost Margin'!$I31="",'Cost Margin'!$B$9,'Cost Margin'!$I31),F$6),INDEX(Settings!$J$7:$M$60,0,MATCH('Cost Margin'!$C31,Settings!$J$6:$M$6,0))),NETWORKDAYS(MAX(IF('Cost Margin'!$H31="",'Cost Margin'!$B$8,'Cost Margin'!$H31),F$5),MIN(IF('Cost Margin'!$I31="",'Cost Margin'!$B$9,'Cost Margin'!$I31),F$6)))))</f>
        <v>0</v>
      </c>
      <c r="G23" s="34">
        <f>IF(OR(G$5="",'Cost Margin'!$A31="",IF('Cost Margin'!$H31="",'Cost Margin'!$B$8,'Cost Margin'!$H31)="",IF('Cost Margin'!$I31="",'Cost Margin'!$B$9,'Cost Margin'!$I31)=""),0,IF(MIN(IF('Cost Margin'!$I31="",'Cost Margin'!$B$9,'Cost Margin'!$I31),G$6)&lt;MAX(IF('Cost Margin'!$H31="",'Cost Margin'!$B$8,'Cost Margin'!$H31),G$5),0,IFERROR(NETWORKDAYS(MAX(IF('Cost Margin'!$H31="",'Cost Margin'!$B$8,'Cost Margin'!$H31),G$5),MIN(IF('Cost Margin'!$I31="",'Cost Margin'!$B$9,'Cost Margin'!$I31),G$6),INDEX(Settings!$J$7:$M$60,0,MATCH('Cost Margin'!$C31,Settings!$J$6:$M$6,0))),NETWORKDAYS(MAX(IF('Cost Margin'!$H31="",'Cost Margin'!$B$8,'Cost Margin'!$H31),G$5),MIN(IF('Cost Margin'!$I31="",'Cost Margin'!$B$9,'Cost Margin'!$I31),G$6)))))</f>
        <v>0</v>
      </c>
      <c r="H23" s="34">
        <f>IF(OR(H$5="",'Cost Margin'!$A31="",IF('Cost Margin'!$H31="",'Cost Margin'!$B$8,'Cost Margin'!$H31)="",IF('Cost Margin'!$I31="",'Cost Margin'!$B$9,'Cost Margin'!$I31)=""),0,IF(MIN(IF('Cost Margin'!$I31="",'Cost Margin'!$B$9,'Cost Margin'!$I31),H$6)&lt;MAX(IF('Cost Margin'!$H31="",'Cost Margin'!$B$8,'Cost Margin'!$H31),H$5),0,IFERROR(NETWORKDAYS(MAX(IF('Cost Margin'!$H31="",'Cost Margin'!$B$8,'Cost Margin'!$H31),H$5),MIN(IF('Cost Margin'!$I31="",'Cost Margin'!$B$9,'Cost Margin'!$I31),H$6),INDEX(Settings!$J$7:$M$60,0,MATCH('Cost Margin'!$C31,Settings!$J$6:$M$6,0))),NETWORKDAYS(MAX(IF('Cost Margin'!$H31="",'Cost Margin'!$B$8,'Cost Margin'!$H31),H$5),MIN(IF('Cost Margin'!$I31="",'Cost Margin'!$B$9,'Cost Margin'!$I31),H$6)))))</f>
        <v>0</v>
      </c>
      <c r="I23" s="34">
        <f>IF(OR(I$5="",'Cost Margin'!$A31="",IF('Cost Margin'!$H31="",'Cost Margin'!$B$8,'Cost Margin'!$H31)="",IF('Cost Margin'!$I31="",'Cost Margin'!$B$9,'Cost Margin'!$I31)=""),0,IF(MIN(IF('Cost Margin'!$I31="",'Cost Margin'!$B$9,'Cost Margin'!$I31),I$6)&lt;MAX(IF('Cost Margin'!$H31="",'Cost Margin'!$B$8,'Cost Margin'!$H31),I$5),0,IFERROR(NETWORKDAYS(MAX(IF('Cost Margin'!$H31="",'Cost Margin'!$B$8,'Cost Margin'!$H31),I$5),MIN(IF('Cost Margin'!$I31="",'Cost Margin'!$B$9,'Cost Margin'!$I31),I$6),INDEX(Settings!$J$7:$M$60,0,MATCH('Cost Margin'!$C31,Settings!$J$6:$M$6,0))),NETWORKDAYS(MAX(IF('Cost Margin'!$H31="",'Cost Margin'!$B$8,'Cost Margin'!$H31),I$5),MIN(IF('Cost Margin'!$I31="",'Cost Margin'!$B$9,'Cost Margin'!$I31),I$6)))))</f>
        <v>0</v>
      </c>
      <c r="J23" s="34">
        <f>IF(OR(J$5="",'Cost Margin'!$A31="",IF('Cost Margin'!$H31="",'Cost Margin'!$B$8,'Cost Margin'!$H31)="",IF('Cost Margin'!$I31="",'Cost Margin'!$B$9,'Cost Margin'!$I31)=""),0,IF(MIN(IF('Cost Margin'!$I31="",'Cost Margin'!$B$9,'Cost Margin'!$I31),J$6)&lt;MAX(IF('Cost Margin'!$H31="",'Cost Margin'!$B$8,'Cost Margin'!$H31),J$5),0,IFERROR(NETWORKDAYS(MAX(IF('Cost Margin'!$H31="",'Cost Margin'!$B$8,'Cost Margin'!$H31),J$5),MIN(IF('Cost Margin'!$I31="",'Cost Margin'!$B$9,'Cost Margin'!$I31),J$6),INDEX(Settings!$J$7:$M$60,0,MATCH('Cost Margin'!$C31,Settings!$J$6:$M$6,0))),NETWORKDAYS(MAX(IF('Cost Margin'!$H31="",'Cost Margin'!$B$8,'Cost Margin'!$H31),J$5),MIN(IF('Cost Margin'!$I31="",'Cost Margin'!$B$9,'Cost Margin'!$I31),J$6)))))</f>
        <v>0</v>
      </c>
      <c r="K23" s="34">
        <f>IF(OR(K$5="",'Cost Margin'!$A31="",IF('Cost Margin'!$H31="",'Cost Margin'!$B$8,'Cost Margin'!$H31)="",IF('Cost Margin'!$I31="",'Cost Margin'!$B$9,'Cost Margin'!$I31)=""),0,IF(MIN(IF('Cost Margin'!$I31="",'Cost Margin'!$B$9,'Cost Margin'!$I31),K$6)&lt;MAX(IF('Cost Margin'!$H31="",'Cost Margin'!$B$8,'Cost Margin'!$H31),K$5),0,IFERROR(NETWORKDAYS(MAX(IF('Cost Margin'!$H31="",'Cost Margin'!$B$8,'Cost Margin'!$H31),K$5),MIN(IF('Cost Margin'!$I31="",'Cost Margin'!$B$9,'Cost Margin'!$I31),K$6),INDEX(Settings!$J$7:$M$60,0,MATCH('Cost Margin'!$C31,Settings!$J$6:$M$6,0))),NETWORKDAYS(MAX(IF('Cost Margin'!$H31="",'Cost Margin'!$B$8,'Cost Margin'!$H31),K$5),MIN(IF('Cost Margin'!$I31="",'Cost Margin'!$B$9,'Cost Margin'!$I31),K$6)))))</f>
        <v>0</v>
      </c>
      <c r="L23" s="34">
        <f>IF(OR(L$5="",'Cost Margin'!$A31="",IF('Cost Margin'!$H31="",'Cost Margin'!$B$8,'Cost Margin'!$H31)="",IF('Cost Margin'!$I31="",'Cost Margin'!$B$9,'Cost Margin'!$I31)=""),0,IF(MIN(IF('Cost Margin'!$I31="",'Cost Margin'!$B$9,'Cost Margin'!$I31),L$6)&lt;MAX(IF('Cost Margin'!$H31="",'Cost Margin'!$B$8,'Cost Margin'!$H31),L$5),0,IFERROR(NETWORKDAYS(MAX(IF('Cost Margin'!$H31="",'Cost Margin'!$B$8,'Cost Margin'!$H31),L$5),MIN(IF('Cost Margin'!$I31="",'Cost Margin'!$B$9,'Cost Margin'!$I31),L$6),INDEX(Settings!$J$7:$M$60,0,MATCH('Cost Margin'!$C31,Settings!$J$6:$M$6,0))),NETWORKDAYS(MAX(IF('Cost Margin'!$H31="",'Cost Margin'!$B$8,'Cost Margin'!$H31),L$5),MIN(IF('Cost Margin'!$I31="",'Cost Margin'!$B$9,'Cost Margin'!$I31),L$6)))))</f>
        <v>0</v>
      </c>
      <c r="M23" s="34">
        <f>IF(OR(M$5="",'Cost Margin'!$A31="",IF('Cost Margin'!$H31="",'Cost Margin'!$B$8,'Cost Margin'!$H31)="",IF('Cost Margin'!$I31="",'Cost Margin'!$B$9,'Cost Margin'!$I31)=""),0,IF(MIN(IF('Cost Margin'!$I31="",'Cost Margin'!$B$9,'Cost Margin'!$I31),M$6)&lt;MAX(IF('Cost Margin'!$H31="",'Cost Margin'!$B$8,'Cost Margin'!$H31),M$5),0,IFERROR(NETWORKDAYS(MAX(IF('Cost Margin'!$H31="",'Cost Margin'!$B$8,'Cost Margin'!$H31),M$5),MIN(IF('Cost Margin'!$I31="",'Cost Margin'!$B$9,'Cost Margin'!$I31),M$6),INDEX(Settings!$J$7:$M$60,0,MATCH('Cost Margin'!$C31,Settings!$J$6:$M$6,0))),NETWORKDAYS(MAX(IF('Cost Margin'!$H31="",'Cost Margin'!$B$8,'Cost Margin'!$H31),M$5),MIN(IF('Cost Margin'!$I31="",'Cost Margin'!$B$9,'Cost Margin'!$I31),M$6)))))</f>
        <v>0</v>
      </c>
      <c r="N23" s="34">
        <f>IF(OR(N$5="",'Cost Margin'!$A31="",IF('Cost Margin'!$H31="",'Cost Margin'!$B$8,'Cost Margin'!$H31)="",IF('Cost Margin'!$I31="",'Cost Margin'!$B$9,'Cost Margin'!$I31)=""),0,IF(MIN(IF('Cost Margin'!$I31="",'Cost Margin'!$B$9,'Cost Margin'!$I31),N$6)&lt;MAX(IF('Cost Margin'!$H31="",'Cost Margin'!$B$8,'Cost Margin'!$H31),N$5),0,IFERROR(NETWORKDAYS(MAX(IF('Cost Margin'!$H31="",'Cost Margin'!$B$8,'Cost Margin'!$H31),N$5),MIN(IF('Cost Margin'!$I31="",'Cost Margin'!$B$9,'Cost Margin'!$I31),N$6),INDEX(Settings!$J$7:$M$60,0,MATCH('Cost Margin'!$C31,Settings!$J$6:$M$6,0))),NETWORKDAYS(MAX(IF('Cost Margin'!$H31="",'Cost Margin'!$B$8,'Cost Margin'!$H31),N$5),MIN(IF('Cost Margin'!$I31="",'Cost Margin'!$B$9,'Cost Margin'!$I31),N$6)))))</f>
        <v>0</v>
      </c>
      <c r="O23" s="34">
        <f>IF(OR(O$5="",'Cost Margin'!$A31="",IF('Cost Margin'!$H31="",'Cost Margin'!$B$8,'Cost Margin'!$H31)="",IF('Cost Margin'!$I31="",'Cost Margin'!$B$9,'Cost Margin'!$I31)=""),0,IF(MIN(IF('Cost Margin'!$I31="",'Cost Margin'!$B$9,'Cost Margin'!$I31),O$6)&lt;MAX(IF('Cost Margin'!$H31="",'Cost Margin'!$B$8,'Cost Margin'!$H31),O$5),0,IFERROR(NETWORKDAYS(MAX(IF('Cost Margin'!$H31="",'Cost Margin'!$B$8,'Cost Margin'!$H31),O$5),MIN(IF('Cost Margin'!$I31="",'Cost Margin'!$B$9,'Cost Margin'!$I31),O$6),INDEX(Settings!$J$7:$M$60,0,MATCH('Cost Margin'!$C31,Settings!$J$6:$M$6,0))),NETWORKDAYS(MAX(IF('Cost Margin'!$H31="",'Cost Margin'!$B$8,'Cost Margin'!$H31),O$5),MIN(IF('Cost Margin'!$I31="",'Cost Margin'!$B$9,'Cost Margin'!$I31),O$6)))))</f>
        <v>0</v>
      </c>
      <c r="P23" s="34">
        <f>IF(OR(P$5="",'Cost Margin'!$A31="",IF('Cost Margin'!$H31="",'Cost Margin'!$B$8,'Cost Margin'!$H31)="",IF('Cost Margin'!$I31="",'Cost Margin'!$B$9,'Cost Margin'!$I31)=""),0,IF(MIN(IF('Cost Margin'!$I31="",'Cost Margin'!$B$9,'Cost Margin'!$I31),P$6)&lt;MAX(IF('Cost Margin'!$H31="",'Cost Margin'!$B$8,'Cost Margin'!$H31),P$5),0,IFERROR(NETWORKDAYS(MAX(IF('Cost Margin'!$H31="",'Cost Margin'!$B$8,'Cost Margin'!$H31),P$5),MIN(IF('Cost Margin'!$I31="",'Cost Margin'!$B$9,'Cost Margin'!$I31),P$6),INDEX(Settings!$J$7:$M$60,0,MATCH('Cost Margin'!$C31,Settings!$J$6:$M$6,0))),NETWORKDAYS(MAX(IF('Cost Margin'!$H31="",'Cost Margin'!$B$8,'Cost Margin'!$H31),P$5),MIN(IF('Cost Margin'!$I31="",'Cost Margin'!$B$9,'Cost Margin'!$I31),P$6)))))</f>
        <v>0</v>
      </c>
      <c r="Q23" s="34">
        <f>IF(OR(Q$5="",'Cost Margin'!$A31="",IF('Cost Margin'!$H31="",'Cost Margin'!$B$8,'Cost Margin'!$H31)="",IF('Cost Margin'!$I31="",'Cost Margin'!$B$9,'Cost Margin'!$I31)=""),0,IF(MIN(IF('Cost Margin'!$I31="",'Cost Margin'!$B$9,'Cost Margin'!$I31),Q$6)&lt;MAX(IF('Cost Margin'!$H31="",'Cost Margin'!$B$8,'Cost Margin'!$H31),Q$5),0,IFERROR(NETWORKDAYS(MAX(IF('Cost Margin'!$H31="",'Cost Margin'!$B$8,'Cost Margin'!$H31),Q$5),MIN(IF('Cost Margin'!$I31="",'Cost Margin'!$B$9,'Cost Margin'!$I31),Q$6),INDEX(Settings!$J$7:$M$60,0,MATCH('Cost Margin'!$C31,Settings!$J$6:$M$6,0))),NETWORKDAYS(MAX(IF('Cost Margin'!$H31="",'Cost Margin'!$B$8,'Cost Margin'!$H31),Q$5),MIN(IF('Cost Margin'!$I31="",'Cost Margin'!$B$9,'Cost Margin'!$I31),Q$6)))))</f>
        <v>0</v>
      </c>
      <c r="R23" s="34">
        <f>IF(OR(R$5="",'Cost Margin'!$A31="",IF('Cost Margin'!$H31="",'Cost Margin'!$B$8,'Cost Margin'!$H31)="",IF('Cost Margin'!$I31="",'Cost Margin'!$B$9,'Cost Margin'!$I31)=""),0,IF(MIN(IF('Cost Margin'!$I31="",'Cost Margin'!$B$9,'Cost Margin'!$I31),R$6)&lt;MAX(IF('Cost Margin'!$H31="",'Cost Margin'!$B$8,'Cost Margin'!$H31),R$5),0,IFERROR(NETWORKDAYS(MAX(IF('Cost Margin'!$H31="",'Cost Margin'!$B$8,'Cost Margin'!$H31),R$5),MIN(IF('Cost Margin'!$I31="",'Cost Margin'!$B$9,'Cost Margin'!$I31),R$6),INDEX(Settings!$J$7:$M$60,0,MATCH('Cost Margin'!$C31,Settings!$J$6:$M$6,0))),NETWORKDAYS(MAX(IF('Cost Margin'!$H31="",'Cost Margin'!$B$8,'Cost Margin'!$H31),R$5),MIN(IF('Cost Margin'!$I31="",'Cost Margin'!$B$9,'Cost Margin'!$I31),R$6)))))</f>
        <v>0</v>
      </c>
      <c r="S23" s="34">
        <f>IF(OR(S$5="",'Cost Margin'!$A31="",IF('Cost Margin'!$H31="",'Cost Margin'!$B$8,'Cost Margin'!$H31)="",IF('Cost Margin'!$I31="",'Cost Margin'!$B$9,'Cost Margin'!$I31)=""),0,IF(MIN(IF('Cost Margin'!$I31="",'Cost Margin'!$B$9,'Cost Margin'!$I31),S$6)&lt;MAX(IF('Cost Margin'!$H31="",'Cost Margin'!$B$8,'Cost Margin'!$H31),S$5),0,IFERROR(NETWORKDAYS(MAX(IF('Cost Margin'!$H31="",'Cost Margin'!$B$8,'Cost Margin'!$H31),S$5),MIN(IF('Cost Margin'!$I31="",'Cost Margin'!$B$9,'Cost Margin'!$I31),S$6),INDEX(Settings!$J$7:$M$60,0,MATCH('Cost Margin'!$C31,Settings!$J$6:$M$6,0))),NETWORKDAYS(MAX(IF('Cost Margin'!$H31="",'Cost Margin'!$B$8,'Cost Margin'!$H31),S$5),MIN(IF('Cost Margin'!$I31="",'Cost Margin'!$B$9,'Cost Margin'!$I31),S$6)))))</f>
        <v>0</v>
      </c>
      <c r="T23" s="34">
        <f>IF(OR(T$5="",'Cost Margin'!$A31="",IF('Cost Margin'!$H31="",'Cost Margin'!$B$8,'Cost Margin'!$H31)="",IF('Cost Margin'!$I31="",'Cost Margin'!$B$9,'Cost Margin'!$I31)=""),0,IF(MIN(IF('Cost Margin'!$I31="",'Cost Margin'!$B$9,'Cost Margin'!$I31),T$6)&lt;MAX(IF('Cost Margin'!$H31="",'Cost Margin'!$B$8,'Cost Margin'!$H31),T$5),0,IFERROR(NETWORKDAYS(MAX(IF('Cost Margin'!$H31="",'Cost Margin'!$B$8,'Cost Margin'!$H31),T$5),MIN(IF('Cost Margin'!$I31="",'Cost Margin'!$B$9,'Cost Margin'!$I31),T$6),INDEX(Settings!$J$7:$M$60,0,MATCH('Cost Margin'!$C31,Settings!$J$6:$M$6,0))),NETWORKDAYS(MAX(IF('Cost Margin'!$H31="",'Cost Margin'!$B$8,'Cost Margin'!$H31),T$5),MIN(IF('Cost Margin'!$I31="",'Cost Margin'!$B$9,'Cost Margin'!$I31),T$6)))))</f>
        <v>0</v>
      </c>
      <c r="U23" s="34">
        <f>IF(OR(U$5="",'Cost Margin'!$A31="",IF('Cost Margin'!$H31="",'Cost Margin'!$B$8,'Cost Margin'!$H31)="",IF('Cost Margin'!$I31="",'Cost Margin'!$B$9,'Cost Margin'!$I31)=""),0,IF(MIN(IF('Cost Margin'!$I31="",'Cost Margin'!$B$9,'Cost Margin'!$I31),U$6)&lt;MAX(IF('Cost Margin'!$H31="",'Cost Margin'!$B$8,'Cost Margin'!$H31),U$5),0,IFERROR(NETWORKDAYS(MAX(IF('Cost Margin'!$H31="",'Cost Margin'!$B$8,'Cost Margin'!$H31),U$5),MIN(IF('Cost Margin'!$I31="",'Cost Margin'!$B$9,'Cost Margin'!$I31),U$6),INDEX(Settings!$J$7:$M$60,0,MATCH('Cost Margin'!$C31,Settings!$J$6:$M$6,0))),NETWORKDAYS(MAX(IF('Cost Margin'!$H31="",'Cost Margin'!$B$8,'Cost Margin'!$H31),U$5),MIN(IF('Cost Margin'!$I31="",'Cost Margin'!$B$9,'Cost Margin'!$I31),U$6)))))</f>
        <v>0</v>
      </c>
      <c r="V23" s="34">
        <f>IF(OR(V$5="",'Cost Margin'!$A31="",IF('Cost Margin'!$H31="",'Cost Margin'!$B$8,'Cost Margin'!$H31)="",IF('Cost Margin'!$I31="",'Cost Margin'!$B$9,'Cost Margin'!$I31)=""),0,IF(MIN(IF('Cost Margin'!$I31="",'Cost Margin'!$B$9,'Cost Margin'!$I31),V$6)&lt;MAX(IF('Cost Margin'!$H31="",'Cost Margin'!$B$8,'Cost Margin'!$H31),V$5),0,IFERROR(NETWORKDAYS(MAX(IF('Cost Margin'!$H31="",'Cost Margin'!$B$8,'Cost Margin'!$H31),V$5),MIN(IF('Cost Margin'!$I31="",'Cost Margin'!$B$9,'Cost Margin'!$I31),V$6),INDEX(Settings!$J$7:$M$60,0,MATCH('Cost Margin'!$C31,Settings!$J$6:$M$6,0))),NETWORKDAYS(MAX(IF('Cost Margin'!$H31="",'Cost Margin'!$B$8,'Cost Margin'!$H31),V$5),MIN(IF('Cost Margin'!$I31="",'Cost Margin'!$B$9,'Cost Margin'!$I31),V$6)))))</f>
        <v>0</v>
      </c>
      <c r="W23" s="34">
        <f>IF(OR(W$5="",'Cost Margin'!$A31="",IF('Cost Margin'!$H31="",'Cost Margin'!$B$8,'Cost Margin'!$H31)="",IF('Cost Margin'!$I31="",'Cost Margin'!$B$9,'Cost Margin'!$I31)=""),0,IF(MIN(IF('Cost Margin'!$I31="",'Cost Margin'!$B$9,'Cost Margin'!$I31),W$6)&lt;MAX(IF('Cost Margin'!$H31="",'Cost Margin'!$B$8,'Cost Margin'!$H31),W$5),0,IFERROR(NETWORKDAYS(MAX(IF('Cost Margin'!$H31="",'Cost Margin'!$B$8,'Cost Margin'!$H31),W$5),MIN(IF('Cost Margin'!$I31="",'Cost Margin'!$B$9,'Cost Margin'!$I31),W$6),INDEX(Settings!$J$7:$M$60,0,MATCH('Cost Margin'!$C31,Settings!$J$6:$M$6,0))),NETWORKDAYS(MAX(IF('Cost Margin'!$H31="",'Cost Margin'!$B$8,'Cost Margin'!$H31),W$5),MIN(IF('Cost Margin'!$I31="",'Cost Margin'!$B$9,'Cost Margin'!$I31),W$6)))))</f>
        <v>0</v>
      </c>
      <c r="X23" s="34">
        <f>IF(OR(X$5="",'Cost Margin'!$A31="",IF('Cost Margin'!$H31="",'Cost Margin'!$B$8,'Cost Margin'!$H31)="",IF('Cost Margin'!$I31="",'Cost Margin'!$B$9,'Cost Margin'!$I31)=""),0,IF(MIN(IF('Cost Margin'!$I31="",'Cost Margin'!$B$9,'Cost Margin'!$I31),X$6)&lt;MAX(IF('Cost Margin'!$H31="",'Cost Margin'!$B$8,'Cost Margin'!$H31),X$5),0,IFERROR(NETWORKDAYS(MAX(IF('Cost Margin'!$H31="",'Cost Margin'!$B$8,'Cost Margin'!$H31),X$5),MIN(IF('Cost Margin'!$I31="",'Cost Margin'!$B$9,'Cost Margin'!$I31),X$6),INDEX(Settings!$J$7:$M$60,0,MATCH('Cost Margin'!$C31,Settings!$J$6:$M$6,0))),NETWORKDAYS(MAX(IF('Cost Margin'!$H31="",'Cost Margin'!$B$8,'Cost Margin'!$H31),X$5),MIN(IF('Cost Margin'!$I31="",'Cost Margin'!$B$9,'Cost Margin'!$I31),X$6)))))</f>
        <v>0</v>
      </c>
      <c r="Y23" s="34">
        <f>IF(OR(Y$5="",'Cost Margin'!$A31="",IF('Cost Margin'!$H31="",'Cost Margin'!$B$8,'Cost Margin'!$H31)="",IF('Cost Margin'!$I31="",'Cost Margin'!$B$9,'Cost Margin'!$I31)=""),0,IF(MIN(IF('Cost Margin'!$I31="",'Cost Margin'!$B$9,'Cost Margin'!$I31),Y$6)&lt;MAX(IF('Cost Margin'!$H31="",'Cost Margin'!$B$8,'Cost Margin'!$H31),Y$5),0,IFERROR(NETWORKDAYS(MAX(IF('Cost Margin'!$H31="",'Cost Margin'!$B$8,'Cost Margin'!$H31),Y$5),MIN(IF('Cost Margin'!$I31="",'Cost Margin'!$B$9,'Cost Margin'!$I31),Y$6),INDEX(Settings!$J$7:$M$60,0,MATCH('Cost Margin'!$C31,Settings!$J$6:$M$6,0))),NETWORKDAYS(MAX(IF('Cost Margin'!$H31="",'Cost Margin'!$B$8,'Cost Margin'!$H31),Y$5),MIN(IF('Cost Margin'!$I31="",'Cost Margin'!$B$9,'Cost Margin'!$I31),Y$6)))))</f>
        <v>0</v>
      </c>
      <c r="Z23" s="34">
        <f>IF(OR(Z$5="",'Cost Margin'!$A31="",IF('Cost Margin'!$H31="",'Cost Margin'!$B$8,'Cost Margin'!$H31)="",IF('Cost Margin'!$I31="",'Cost Margin'!$B$9,'Cost Margin'!$I31)=""),0,IF(MIN(IF('Cost Margin'!$I31="",'Cost Margin'!$B$9,'Cost Margin'!$I31),Z$6)&lt;MAX(IF('Cost Margin'!$H31="",'Cost Margin'!$B$8,'Cost Margin'!$H31),Z$5),0,IFERROR(NETWORKDAYS(MAX(IF('Cost Margin'!$H31="",'Cost Margin'!$B$8,'Cost Margin'!$H31),Z$5),MIN(IF('Cost Margin'!$I31="",'Cost Margin'!$B$9,'Cost Margin'!$I31),Z$6),INDEX(Settings!$J$7:$M$60,0,MATCH('Cost Margin'!$C31,Settings!$J$6:$M$6,0))),NETWORKDAYS(MAX(IF('Cost Margin'!$H31="",'Cost Margin'!$B$8,'Cost Margin'!$H31),Z$5),MIN(IF('Cost Margin'!$I31="",'Cost Margin'!$B$9,'Cost Margin'!$I31),Z$6)))))</f>
        <v>0</v>
      </c>
    </row>
    <row r="24" spans="1:26" x14ac:dyDescent="0.2">
      <c r="A24">
        <v>16</v>
      </c>
      <c r="B24" s="33" t="str">
        <f>IF('Cost Margin'!A32="","",'Cost Margin'!A32)</f>
        <v/>
      </c>
      <c r="C24" s="34">
        <f>IF(OR(C$5="",'Cost Margin'!$A32="",IF('Cost Margin'!$H32="",'Cost Margin'!$B$8,'Cost Margin'!$H32)="",IF('Cost Margin'!$I32="",'Cost Margin'!$B$9,'Cost Margin'!$I32)=""),0,IF(MIN(IF('Cost Margin'!$I32="",'Cost Margin'!$B$9,'Cost Margin'!$I32),C$6)&lt;MAX(IF('Cost Margin'!$H32="",'Cost Margin'!$B$8,'Cost Margin'!$H32),C$5),0,IFERROR(NETWORKDAYS(MAX(IF('Cost Margin'!$H32="",'Cost Margin'!$B$8,'Cost Margin'!$H32),C$5),MIN(IF('Cost Margin'!$I32="",'Cost Margin'!$B$9,'Cost Margin'!$I32),C$6),INDEX(Settings!$J$7:$M$60,0,MATCH('Cost Margin'!$C32,Settings!$J$6:$M$6,0))),NETWORKDAYS(MAX(IF('Cost Margin'!$H32="",'Cost Margin'!$B$8,'Cost Margin'!$H32),C$5),MIN(IF('Cost Margin'!$I32="",'Cost Margin'!$B$9,'Cost Margin'!$I32),C$6)))))</f>
        <v>0</v>
      </c>
      <c r="D24" s="34">
        <f>IF(OR(D$5="",'Cost Margin'!$A32="",IF('Cost Margin'!$H32="",'Cost Margin'!$B$8,'Cost Margin'!$H32)="",IF('Cost Margin'!$I32="",'Cost Margin'!$B$9,'Cost Margin'!$I32)=""),0,IF(MIN(IF('Cost Margin'!$I32="",'Cost Margin'!$B$9,'Cost Margin'!$I32),D$6)&lt;MAX(IF('Cost Margin'!$H32="",'Cost Margin'!$B$8,'Cost Margin'!$H32),D$5),0,IFERROR(NETWORKDAYS(MAX(IF('Cost Margin'!$H32="",'Cost Margin'!$B$8,'Cost Margin'!$H32),D$5),MIN(IF('Cost Margin'!$I32="",'Cost Margin'!$B$9,'Cost Margin'!$I32),D$6),INDEX(Settings!$J$7:$M$60,0,MATCH('Cost Margin'!$C32,Settings!$J$6:$M$6,0))),NETWORKDAYS(MAX(IF('Cost Margin'!$H32="",'Cost Margin'!$B$8,'Cost Margin'!$H32),D$5),MIN(IF('Cost Margin'!$I32="",'Cost Margin'!$B$9,'Cost Margin'!$I32),D$6)))))</f>
        <v>0</v>
      </c>
      <c r="E24" s="34">
        <f>IF(OR(E$5="",'Cost Margin'!$A32="",IF('Cost Margin'!$H32="",'Cost Margin'!$B$8,'Cost Margin'!$H32)="",IF('Cost Margin'!$I32="",'Cost Margin'!$B$9,'Cost Margin'!$I32)=""),0,IF(MIN(IF('Cost Margin'!$I32="",'Cost Margin'!$B$9,'Cost Margin'!$I32),E$6)&lt;MAX(IF('Cost Margin'!$H32="",'Cost Margin'!$B$8,'Cost Margin'!$H32),E$5),0,IFERROR(NETWORKDAYS(MAX(IF('Cost Margin'!$H32="",'Cost Margin'!$B$8,'Cost Margin'!$H32),E$5),MIN(IF('Cost Margin'!$I32="",'Cost Margin'!$B$9,'Cost Margin'!$I32),E$6),INDEX(Settings!$J$7:$M$60,0,MATCH('Cost Margin'!$C32,Settings!$J$6:$M$6,0))),NETWORKDAYS(MAX(IF('Cost Margin'!$H32="",'Cost Margin'!$B$8,'Cost Margin'!$H32),E$5),MIN(IF('Cost Margin'!$I32="",'Cost Margin'!$B$9,'Cost Margin'!$I32),E$6)))))</f>
        <v>0</v>
      </c>
      <c r="F24" s="34">
        <f>IF(OR(F$5="",'Cost Margin'!$A32="",IF('Cost Margin'!$H32="",'Cost Margin'!$B$8,'Cost Margin'!$H32)="",IF('Cost Margin'!$I32="",'Cost Margin'!$B$9,'Cost Margin'!$I32)=""),0,IF(MIN(IF('Cost Margin'!$I32="",'Cost Margin'!$B$9,'Cost Margin'!$I32),F$6)&lt;MAX(IF('Cost Margin'!$H32="",'Cost Margin'!$B$8,'Cost Margin'!$H32),F$5),0,IFERROR(NETWORKDAYS(MAX(IF('Cost Margin'!$H32="",'Cost Margin'!$B$8,'Cost Margin'!$H32),F$5),MIN(IF('Cost Margin'!$I32="",'Cost Margin'!$B$9,'Cost Margin'!$I32),F$6),INDEX(Settings!$J$7:$M$60,0,MATCH('Cost Margin'!$C32,Settings!$J$6:$M$6,0))),NETWORKDAYS(MAX(IF('Cost Margin'!$H32="",'Cost Margin'!$B$8,'Cost Margin'!$H32),F$5),MIN(IF('Cost Margin'!$I32="",'Cost Margin'!$B$9,'Cost Margin'!$I32),F$6)))))</f>
        <v>0</v>
      </c>
      <c r="G24" s="34">
        <f>IF(OR(G$5="",'Cost Margin'!$A32="",IF('Cost Margin'!$H32="",'Cost Margin'!$B$8,'Cost Margin'!$H32)="",IF('Cost Margin'!$I32="",'Cost Margin'!$B$9,'Cost Margin'!$I32)=""),0,IF(MIN(IF('Cost Margin'!$I32="",'Cost Margin'!$B$9,'Cost Margin'!$I32),G$6)&lt;MAX(IF('Cost Margin'!$H32="",'Cost Margin'!$B$8,'Cost Margin'!$H32),G$5),0,IFERROR(NETWORKDAYS(MAX(IF('Cost Margin'!$H32="",'Cost Margin'!$B$8,'Cost Margin'!$H32),G$5),MIN(IF('Cost Margin'!$I32="",'Cost Margin'!$B$9,'Cost Margin'!$I32),G$6),INDEX(Settings!$J$7:$M$60,0,MATCH('Cost Margin'!$C32,Settings!$J$6:$M$6,0))),NETWORKDAYS(MAX(IF('Cost Margin'!$H32="",'Cost Margin'!$B$8,'Cost Margin'!$H32),G$5),MIN(IF('Cost Margin'!$I32="",'Cost Margin'!$B$9,'Cost Margin'!$I32),G$6)))))</f>
        <v>0</v>
      </c>
      <c r="H24" s="34">
        <f>IF(OR(H$5="",'Cost Margin'!$A32="",IF('Cost Margin'!$H32="",'Cost Margin'!$B$8,'Cost Margin'!$H32)="",IF('Cost Margin'!$I32="",'Cost Margin'!$B$9,'Cost Margin'!$I32)=""),0,IF(MIN(IF('Cost Margin'!$I32="",'Cost Margin'!$B$9,'Cost Margin'!$I32),H$6)&lt;MAX(IF('Cost Margin'!$H32="",'Cost Margin'!$B$8,'Cost Margin'!$H32),H$5),0,IFERROR(NETWORKDAYS(MAX(IF('Cost Margin'!$H32="",'Cost Margin'!$B$8,'Cost Margin'!$H32),H$5),MIN(IF('Cost Margin'!$I32="",'Cost Margin'!$B$9,'Cost Margin'!$I32),H$6),INDEX(Settings!$J$7:$M$60,0,MATCH('Cost Margin'!$C32,Settings!$J$6:$M$6,0))),NETWORKDAYS(MAX(IF('Cost Margin'!$H32="",'Cost Margin'!$B$8,'Cost Margin'!$H32),H$5),MIN(IF('Cost Margin'!$I32="",'Cost Margin'!$B$9,'Cost Margin'!$I32),H$6)))))</f>
        <v>0</v>
      </c>
      <c r="I24" s="34">
        <f>IF(OR(I$5="",'Cost Margin'!$A32="",IF('Cost Margin'!$H32="",'Cost Margin'!$B$8,'Cost Margin'!$H32)="",IF('Cost Margin'!$I32="",'Cost Margin'!$B$9,'Cost Margin'!$I32)=""),0,IF(MIN(IF('Cost Margin'!$I32="",'Cost Margin'!$B$9,'Cost Margin'!$I32),I$6)&lt;MAX(IF('Cost Margin'!$H32="",'Cost Margin'!$B$8,'Cost Margin'!$H32),I$5),0,IFERROR(NETWORKDAYS(MAX(IF('Cost Margin'!$H32="",'Cost Margin'!$B$8,'Cost Margin'!$H32),I$5),MIN(IF('Cost Margin'!$I32="",'Cost Margin'!$B$9,'Cost Margin'!$I32),I$6),INDEX(Settings!$J$7:$M$60,0,MATCH('Cost Margin'!$C32,Settings!$J$6:$M$6,0))),NETWORKDAYS(MAX(IF('Cost Margin'!$H32="",'Cost Margin'!$B$8,'Cost Margin'!$H32),I$5),MIN(IF('Cost Margin'!$I32="",'Cost Margin'!$B$9,'Cost Margin'!$I32),I$6)))))</f>
        <v>0</v>
      </c>
      <c r="J24" s="34">
        <f>IF(OR(J$5="",'Cost Margin'!$A32="",IF('Cost Margin'!$H32="",'Cost Margin'!$B$8,'Cost Margin'!$H32)="",IF('Cost Margin'!$I32="",'Cost Margin'!$B$9,'Cost Margin'!$I32)=""),0,IF(MIN(IF('Cost Margin'!$I32="",'Cost Margin'!$B$9,'Cost Margin'!$I32),J$6)&lt;MAX(IF('Cost Margin'!$H32="",'Cost Margin'!$B$8,'Cost Margin'!$H32),J$5),0,IFERROR(NETWORKDAYS(MAX(IF('Cost Margin'!$H32="",'Cost Margin'!$B$8,'Cost Margin'!$H32),J$5),MIN(IF('Cost Margin'!$I32="",'Cost Margin'!$B$9,'Cost Margin'!$I32),J$6),INDEX(Settings!$J$7:$M$60,0,MATCH('Cost Margin'!$C32,Settings!$J$6:$M$6,0))),NETWORKDAYS(MAX(IF('Cost Margin'!$H32="",'Cost Margin'!$B$8,'Cost Margin'!$H32),J$5),MIN(IF('Cost Margin'!$I32="",'Cost Margin'!$B$9,'Cost Margin'!$I32),J$6)))))</f>
        <v>0</v>
      </c>
      <c r="K24" s="34">
        <f>IF(OR(K$5="",'Cost Margin'!$A32="",IF('Cost Margin'!$H32="",'Cost Margin'!$B$8,'Cost Margin'!$H32)="",IF('Cost Margin'!$I32="",'Cost Margin'!$B$9,'Cost Margin'!$I32)=""),0,IF(MIN(IF('Cost Margin'!$I32="",'Cost Margin'!$B$9,'Cost Margin'!$I32),K$6)&lt;MAX(IF('Cost Margin'!$H32="",'Cost Margin'!$B$8,'Cost Margin'!$H32),K$5),0,IFERROR(NETWORKDAYS(MAX(IF('Cost Margin'!$H32="",'Cost Margin'!$B$8,'Cost Margin'!$H32),K$5),MIN(IF('Cost Margin'!$I32="",'Cost Margin'!$B$9,'Cost Margin'!$I32),K$6),INDEX(Settings!$J$7:$M$60,0,MATCH('Cost Margin'!$C32,Settings!$J$6:$M$6,0))),NETWORKDAYS(MAX(IF('Cost Margin'!$H32="",'Cost Margin'!$B$8,'Cost Margin'!$H32),K$5),MIN(IF('Cost Margin'!$I32="",'Cost Margin'!$B$9,'Cost Margin'!$I32),K$6)))))</f>
        <v>0</v>
      </c>
      <c r="L24" s="34">
        <f>IF(OR(L$5="",'Cost Margin'!$A32="",IF('Cost Margin'!$H32="",'Cost Margin'!$B$8,'Cost Margin'!$H32)="",IF('Cost Margin'!$I32="",'Cost Margin'!$B$9,'Cost Margin'!$I32)=""),0,IF(MIN(IF('Cost Margin'!$I32="",'Cost Margin'!$B$9,'Cost Margin'!$I32),L$6)&lt;MAX(IF('Cost Margin'!$H32="",'Cost Margin'!$B$8,'Cost Margin'!$H32),L$5),0,IFERROR(NETWORKDAYS(MAX(IF('Cost Margin'!$H32="",'Cost Margin'!$B$8,'Cost Margin'!$H32),L$5),MIN(IF('Cost Margin'!$I32="",'Cost Margin'!$B$9,'Cost Margin'!$I32),L$6),INDEX(Settings!$J$7:$M$60,0,MATCH('Cost Margin'!$C32,Settings!$J$6:$M$6,0))),NETWORKDAYS(MAX(IF('Cost Margin'!$H32="",'Cost Margin'!$B$8,'Cost Margin'!$H32),L$5),MIN(IF('Cost Margin'!$I32="",'Cost Margin'!$B$9,'Cost Margin'!$I32),L$6)))))</f>
        <v>0</v>
      </c>
      <c r="M24" s="34">
        <f>IF(OR(M$5="",'Cost Margin'!$A32="",IF('Cost Margin'!$H32="",'Cost Margin'!$B$8,'Cost Margin'!$H32)="",IF('Cost Margin'!$I32="",'Cost Margin'!$B$9,'Cost Margin'!$I32)=""),0,IF(MIN(IF('Cost Margin'!$I32="",'Cost Margin'!$B$9,'Cost Margin'!$I32),M$6)&lt;MAX(IF('Cost Margin'!$H32="",'Cost Margin'!$B$8,'Cost Margin'!$H32),M$5),0,IFERROR(NETWORKDAYS(MAX(IF('Cost Margin'!$H32="",'Cost Margin'!$B$8,'Cost Margin'!$H32),M$5),MIN(IF('Cost Margin'!$I32="",'Cost Margin'!$B$9,'Cost Margin'!$I32),M$6),INDEX(Settings!$J$7:$M$60,0,MATCH('Cost Margin'!$C32,Settings!$J$6:$M$6,0))),NETWORKDAYS(MAX(IF('Cost Margin'!$H32="",'Cost Margin'!$B$8,'Cost Margin'!$H32),M$5),MIN(IF('Cost Margin'!$I32="",'Cost Margin'!$B$9,'Cost Margin'!$I32),M$6)))))</f>
        <v>0</v>
      </c>
      <c r="N24" s="34">
        <f>IF(OR(N$5="",'Cost Margin'!$A32="",IF('Cost Margin'!$H32="",'Cost Margin'!$B$8,'Cost Margin'!$H32)="",IF('Cost Margin'!$I32="",'Cost Margin'!$B$9,'Cost Margin'!$I32)=""),0,IF(MIN(IF('Cost Margin'!$I32="",'Cost Margin'!$B$9,'Cost Margin'!$I32),N$6)&lt;MAX(IF('Cost Margin'!$H32="",'Cost Margin'!$B$8,'Cost Margin'!$H32),N$5),0,IFERROR(NETWORKDAYS(MAX(IF('Cost Margin'!$H32="",'Cost Margin'!$B$8,'Cost Margin'!$H32),N$5),MIN(IF('Cost Margin'!$I32="",'Cost Margin'!$B$9,'Cost Margin'!$I32),N$6),INDEX(Settings!$J$7:$M$60,0,MATCH('Cost Margin'!$C32,Settings!$J$6:$M$6,0))),NETWORKDAYS(MAX(IF('Cost Margin'!$H32="",'Cost Margin'!$B$8,'Cost Margin'!$H32),N$5),MIN(IF('Cost Margin'!$I32="",'Cost Margin'!$B$9,'Cost Margin'!$I32),N$6)))))</f>
        <v>0</v>
      </c>
      <c r="O24" s="34">
        <f>IF(OR(O$5="",'Cost Margin'!$A32="",IF('Cost Margin'!$H32="",'Cost Margin'!$B$8,'Cost Margin'!$H32)="",IF('Cost Margin'!$I32="",'Cost Margin'!$B$9,'Cost Margin'!$I32)=""),0,IF(MIN(IF('Cost Margin'!$I32="",'Cost Margin'!$B$9,'Cost Margin'!$I32),O$6)&lt;MAX(IF('Cost Margin'!$H32="",'Cost Margin'!$B$8,'Cost Margin'!$H32),O$5),0,IFERROR(NETWORKDAYS(MAX(IF('Cost Margin'!$H32="",'Cost Margin'!$B$8,'Cost Margin'!$H32),O$5),MIN(IF('Cost Margin'!$I32="",'Cost Margin'!$B$9,'Cost Margin'!$I32),O$6),INDEX(Settings!$J$7:$M$60,0,MATCH('Cost Margin'!$C32,Settings!$J$6:$M$6,0))),NETWORKDAYS(MAX(IF('Cost Margin'!$H32="",'Cost Margin'!$B$8,'Cost Margin'!$H32),O$5),MIN(IF('Cost Margin'!$I32="",'Cost Margin'!$B$9,'Cost Margin'!$I32),O$6)))))</f>
        <v>0</v>
      </c>
      <c r="P24" s="34">
        <f>IF(OR(P$5="",'Cost Margin'!$A32="",IF('Cost Margin'!$H32="",'Cost Margin'!$B$8,'Cost Margin'!$H32)="",IF('Cost Margin'!$I32="",'Cost Margin'!$B$9,'Cost Margin'!$I32)=""),0,IF(MIN(IF('Cost Margin'!$I32="",'Cost Margin'!$B$9,'Cost Margin'!$I32),P$6)&lt;MAX(IF('Cost Margin'!$H32="",'Cost Margin'!$B$8,'Cost Margin'!$H32),P$5),0,IFERROR(NETWORKDAYS(MAX(IF('Cost Margin'!$H32="",'Cost Margin'!$B$8,'Cost Margin'!$H32),P$5),MIN(IF('Cost Margin'!$I32="",'Cost Margin'!$B$9,'Cost Margin'!$I32),P$6),INDEX(Settings!$J$7:$M$60,0,MATCH('Cost Margin'!$C32,Settings!$J$6:$M$6,0))),NETWORKDAYS(MAX(IF('Cost Margin'!$H32="",'Cost Margin'!$B$8,'Cost Margin'!$H32),P$5),MIN(IF('Cost Margin'!$I32="",'Cost Margin'!$B$9,'Cost Margin'!$I32),P$6)))))</f>
        <v>0</v>
      </c>
      <c r="Q24" s="34">
        <f>IF(OR(Q$5="",'Cost Margin'!$A32="",IF('Cost Margin'!$H32="",'Cost Margin'!$B$8,'Cost Margin'!$H32)="",IF('Cost Margin'!$I32="",'Cost Margin'!$B$9,'Cost Margin'!$I32)=""),0,IF(MIN(IF('Cost Margin'!$I32="",'Cost Margin'!$B$9,'Cost Margin'!$I32),Q$6)&lt;MAX(IF('Cost Margin'!$H32="",'Cost Margin'!$B$8,'Cost Margin'!$H32),Q$5),0,IFERROR(NETWORKDAYS(MAX(IF('Cost Margin'!$H32="",'Cost Margin'!$B$8,'Cost Margin'!$H32),Q$5),MIN(IF('Cost Margin'!$I32="",'Cost Margin'!$B$9,'Cost Margin'!$I32),Q$6),INDEX(Settings!$J$7:$M$60,0,MATCH('Cost Margin'!$C32,Settings!$J$6:$M$6,0))),NETWORKDAYS(MAX(IF('Cost Margin'!$H32="",'Cost Margin'!$B$8,'Cost Margin'!$H32),Q$5),MIN(IF('Cost Margin'!$I32="",'Cost Margin'!$B$9,'Cost Margin'!$I32),Q$6)))))</f>
        <v>0</v>
      </c>
      <c r="R24" s="34">
        <f>IF(OR(R$5="",'Cost Margin'!$A32="",IF('Cost Margin'!$H32="",'Cost Margin'!$B$8,'Cost Margin'!$H32)="",IF('Cost Margin'!$I32="",'Cost Margin'!$B$9,'Cost Margin'!$I32)=""),0,IF(MIN(IF('Cost Margin'!$I32="",'Cost Margin'!$B$9,'Cost Margin'!$I32),R$6)&lt;MAX(IF('Cost Margin'!$H32="",'Cost Margin'!$B$8,'Cost Margin'!$H32),R$5),0,IFERROR(NETWORKDAYS(MAX(IF('Cost Margin'!$H32="",'Cost Margin'!$B$8,'Cost Margin'!$H32),R$5),MIN(IF('Cost Margin'!$I32="",'Cost Margin'!$B$9,'Cost Margin'!$I32),R$6),INDEX(Settings!$J$7:$M$60,0,MATCH('Cost Margin'!$C32,Settings!$J$6:$M$6,0))),NETWORKDAYS(MAX(IF('Cost Margin'!$H32="",'Cost Margin'!$B$8,'Cost Margin'!$H32),R$5),MIN(IF('Cost Margin'!$I32="",'Cost Margin'!$B$9,'Cost Margin'!$I32),R$6)))))</f>
        <v>0</v>
      </c>
      <c r="S24" s="34">
        <f>IF(OR(S$5="",'Cost Margin'!$A32="",IF('Cost Margin'!$H32="",'Cost Margin'!$B$8,'Cost Margin'!$H32)="",IF('Cost Margin'!$I32="",'Cost Margin'!$B$9,'Cost Margin'!$I32)=""),0,IF(MIN(IF('Cost Margin'!$I32="",'Cost Margin'!$B$9,'Cost Margin'!$I32),S$6)&lt;MAX(IF('Cost Margin'!$H32="",'Cost Margin'!$B$8,'Cost Margin'!$H32),S$5),0,IFERROR(NETWORKDAYS(MAX(IF('Cost Margin'!$H32="",'Cost Margin'!$B$8,'Cost Margin'!$H32),S$5),MIN(IF('Cost Margin'!$I32="",'Cost Margin'!$B$9,'Cost Margin'!$I32),S$6),INDEX(Settings!$J$7:$M$60,0,MATCH('Cost Margin'!$C32,Settings!$J$6:$M$6,0))),NETWORKDAYS(MAX(IF('Cost Margin'!$H32="",'Cost Margin'!$B$8,'Cost Margin'!$H32),S$5),MIN(IF('Cost Margin'!$I32="",'Cost Margin'!$B$9,'Cost Margin'!$I32),S$6)))))</f>
        <v>0</v>
      </c>
      <c r="T24" s="34">
        <f>IF(OR(T$5="",'Cost Margin'!$A32="",IF('Cost Margin'!$H32="",'Cost Margin'!$B$8,'Cost Margin'!$H32)="",IF('Cost Margin'!$I32="",'Cost Margin'!$B$9,'Cost Margin'!$I32)=""),0,IF(MIN(IF('Cost Margin'!$I32="",'Cost Margin'!$B$9,'Cost Margin'!$I32),T$6)&lt;MAX(IF('Cost Margin'!$H32="",'Cost Margin'!$B$8,'Cost Margin'!$H32),T$5),0,IFERROR(NETWORKDAYS(MAX(IF('Cost Margin'!$H32="",'Cost Margin'!$B$8,'Cost Margin'!$H32),T$5),MIN(IF('Cost Margin'!$I32="",'Cost Margin'!$B$9,'Cost Margin'!$I32),T$6),INDEX(Settings!$J$7:$M$60,0,MATCH('Cost Margin'!$C32,Settings!$J$6:$M$6,0))),NETWORKDAYS(MAX(IF('Cost Margin'!$H32="",'Cost Margin'!$B$8,'Cost Margin'!$H32),T$5),MIN(IF('Cost Margin'!$I32="",'Cost Margin'!$B$9,'Cost Margin'!$I32),T$6)))))</f>
        <v>0</v>
      </c>
      <c r="U24" s="34">
        <f>IF(OR(U$5="",'Cost Margin'!$A32="",IF('Cost Margin'!$H32="",'Cost Margin'!$B$8,'Cost Margin'!$H32)="",IF('Cost Margin'!$I32="",'Cost Margin'!$B$9,'Cost Margin'!$I32)=""),0,IF(MIN(IF('Cost Margin'!$I32="",'Cost Margin'!$B$9,'Cost Margin'!$I32),U$6)&lt;MAX(IF('Cost Margin'!$H32="",'Cost Margin'!$B$8,'Cost Margin'!$H32),U$5),0,IFERROR(NETWORKDAYS(MAX(IF('Cost Margin'!$H32="",'Cost Margin'!$B$8,'Cost Margin'!$H32),U$5),MIN(IF('Cost Margin'!$I32="",'Cost Margin'!$B$9,'Cost Margin'!$I32),U$6),INDEX(Settings!$J$7:$M$60,0,MATCH('Cost Margin'!$C32,Settings!$J$6:$M$6,0))),NETWORKDAYS(MAX(IF('Cost Margin'!$H32="",'Cost Margin'!$B$8,'Cost Margin'!$H32),U$5),MIN(IF('Cost Margin'!$I32="",'Cost Margin'!$B$9,'Cost Margin'!$I32),U$6)))))</f>
        <v>0</v>
      </c>
      <c r="V24" s="34">
        <f>IF(OR(V$5="",'Cost Margin'!$A32="",IF('Cost Margin'!$H32="",'Cost Margin'!$B$8,'Cost Margin'!$H32)="",IF('Cost Margin'!$I32="",'Cost Margin'!$B$9,'Cost Margin'!$I32)=""),0,IF(MIN(IF('Cost Margin'!$I32="",'Cost Margin'!$B$9,'Cost Margin'!$I32),V$6)&lt;MAX(IF('Cost Margin'!$H32="",'Cost Margin'!$B$8,'Cost Margin'!$H32),V$5),0,IFERROR(NETWORKDAYS(MAX(IF('Cost Margin'!$H32="",'Cost Margin'!$B$8,'Cost Margin'!$H32),V$5),MIN(IF('Cost Margin'!$I32="",'Cost Margin'!$B$9,'Cost Margin'!$I32),V$6),INDEX(Settings!$J$7:$M$60,0,MATCH('Cost Margin'!$C32,Settings!$J$6:$M$6,0))),NETWORKDAYS(MAX(IF('Cost Margin'!$H32="",'Cost Margin'!$B$8,'Cost Margin'!$H32),V$5),MIN(IF('Cost Margin'!$I32="",'Cost Margin'!$B$9,'Cost Margin'!$I32),V$6)))))</f>
        <v>0</v>
      </c>
      <c r="W24" s="34">
        <f>IF(OR(W$5="",'Cost Margin'!$A32="",IF('Cost Margin'!$H32="",'Cost Margin'!$B$8,'Cost Margin'!$H32)="",IF('Cost Margin'!$I32="",'Cost Margin'!$B$9,'Cost Margin'!$I32)=""),0,IF(MIN(IF('Cost Margin'!$I32="",'Cost Margin'!$B$9,'Cost Margin'!$I32),W$6)&lt;MAX(IF('Cost Margin'!$H32="",'Cost Margin'!$B$8,'Cost Margin'!$H32),W$5),0,IFERROR(NETWORKDAYS(MAX(IF('Cost Margin'!$H32="",'Cost Margin'!$B$8,'Cost Margin'!$H32),W$5),MIN(IF('Cost Margin'!$I32="",'Cost Margin'!$B$9,'Cost Margin'!$I32),W$6),INDEX(Settings!$J$7:$M$60,0,MATCH('Cost Margin'!$C32,Settings!$J$6:$M$6,0))),NETWORKDAYS(MAX(IF('Cost Margin'!$H32="",'Cost Margin'!$B$8,'Cost Margin'!$H32),W$5),MIN(IF('Cost Margin'!$I32="",'Cost Margin'!$B$9,'Cost Margin'!$I32),W$6)))))</f>
        <v>0</v>
      </c>
      <c r="X24" s="34">
        <f>IF(OR(X$5="",'Cost Margin'!$A32="",IF('Cost Margin'!$H32="",'Cost Margin'!$B$8,'Cost Margin'!$H32)="",IF('Cost Margin'!$I32="",'Cost Margin'!$B$9,'Cost Margin'!$I32)=""),0,IF(MIN(IF('Cost Margin'!$I32="",'Cost Margin'!$B$9,'Cost Margin'!$I32),X$6)&lt;MAX(IF('Cost Margin'!$H32="",'Cost Margin'!$B$8,'Cost Margin'!$H32),X$5),0,IFERROR(NETWORKDAYS(MAX(IF('Cost Margin'!$H32="",'Cost Margin'!$B$8,'Cost Margin'!$H32),X$5),MIN(IF('Cost Margin'!$I32="",'Cost Margin'!$B$9,'Cost Margin'!$I32),X$6),INDEX(Settings!$J$7:$M$60,0,MATCH('Cost Margin'!$C32,Settings!$J$6:$M$6,0))),NETWORKDAYS(MAX(IF('Cost Margin'!$H32="",'Cost Margin'!$B$8,'Cost Margin'!$H32),X$5),MIN(IF('Cost Margin'!$I32="",'Cost Margin'!$B$9,'Cost Margin'!$I32),X$6)))))</f>
        <v>0</v>
      </c>
      <c r="Y24" s="34">
        <f>IF(OR(Y$5="",'Cost Margin'!$A32="",IF('Cost Margin'!$H32="",'Cost Margin'!$B$8,'Cost Margin'!$H32)="",IF('Cost Margin'!$I32="",'Cost Margin'!$B$9,'Cost Margin'!$I32)=""),0,IF(MIN(IF('Cost Margin'!$I32="",'Cost Margin'!$B$9,'Cost Margin'!$I32),Y$6)&lt;MAX(IF('Cost Margin'!$H32="",'Cost Margin'!$B$8,'Cost Margin'!$H32),Y$5),0,IFERROR(NETWORKDAYS(MAX(IF('Cost Margin'!$H32="",'Cost Margin'!$B$8,'Cost Margin'!$H32),Y$5),MIN(IF('Cost Margin'!$I32="",'Cost Margin'!$B$9,'Cost Margin'!$I32),Y$6),INDEX(Settings!$J$7:$M$60,0,MATCH('Cost Margin'!$C32,Settings!$J$6:$M$6,0))),NETWORKDAYS(MAX(IF('Cost Margin'!$H32="",'Cost Margin'!$B$8,'Cost Margin'!$H32),Y$5),MIN(IF('Cost Margin'!$I32="",'Cost Margin'!$B$9,'Cost Margin'!$I32),Y$6)))))</f>
        <v>0</v>
      </c>
      <c r="Z24" s="34">
        <f>IF(OR(Z$5="",'Cost Margin'!$A32="",IF('Cost Margin'!$H32="",'Cost Margin'!$B$8,'Cost Margin'!$H32)="",IF('Cost Margin'!$I32="",'Cost Margin'!$B$9,'Cost Margin'!$I32)=""),0,IF(MIN(IF('Cost Margin'!$I32="",'Cost Margin'!$B$9,'Cost Margin'!$I32),Z$6)&lt;MAX(IF('Cost Margin'!$H32="",'Cost Margin'!$B$8,'Cost Margin'!$H32),Z$5),0,IFERROR(NETWORKDAYS(MAX(IF('Cost Margin'!$H32="",'Cost Margin'!$B$8,'Cost Margin'!$H32),Z$5),MIN(IF('Cost Margin'!$I32="",'Cost Margin'!$B$9,'Cost Margin'!$I32),Z$6),INDEX(Settings!$J$7:$M$60,0,MATCH('Cost Margin'!$C32,Settings!$J$6:$M$6,0))),NETWORKDAYS(MAX(IF('Cost Margin'!$H32="",'Cost Margin'!$B$8,'Cost Margin'!$H32),Z$5),MIN(IF('Cost Margin'!$I32="",'Cost Margin'!$B$9,'Cost Margin'!$I32),Z$6)))))</f>
        <v>0</v>
      </c>
    </row>
    <row r="25" spans="1:26" x14ac:dyDescent="0.2">
      <c r="A25">
        <v>17</v>
      </c>
      <c r="B25" s="33" t="str">
        <f>IF('Cost Margin'!A33="","",'Cost Margin'!A33)</f>
        <v/>
      </c>
      <c r="C25" s="34">
        <f>IF(OR(C$5="",'Cost Margin'!$A33="",IF('Cost Margin'!$H33="",'Cost Margin'!$B$8,'Cost Margin'!$H33)="",IF('Cost Margin'!$I33="",'Cost Margin'!$B$9,'Cost Margin'!$I33)=""),0,IF(MIN(IF('Cost Margin'!$I33="",'Cost Margin'!$B$9,'Cost Margin'!$I33),C$6)&lt;MAX(IF('Cost Margin'!$H33="",'Cost Margin'!$B$8,'Cost Margin'!$H33),C$5),0,IFERROR(NETWORKDAYS(MAX(IF('Cost Margin'!$H33="",'Cost Margin'!$B$8,'Cost Margin'!$H33),C$5),MIN(IF('Cost Margin'!$I33="",'Cost Margin'!$B$9,'Cost Margin'!$I33),C$6),INDEX(Settings!$J$7:$M$60,0,MATCH('Cost Margin'!$C33,Settings!$J$6:$M$6,0))),NETWORKDAYS(MAX(IF('Cost Margin'!$H33="",'Cost Margin'!$B$8,'Cost Margin'!$H33),C$5),MIN(IF('Cost Margin'!$I33="",'Cost Margin'!$B$9,'Cost Margin'!$I33),C$6)))))</f>
        <v>0</v>
      </c>
      <c r="D25" s="34">
        <f>IF(OR(D$5="",'Cost Margin'!$A33="",IF('Cost Margin'!$H33="",'Cost Margin'!$B$8,'Cost Margin'!$H33)="",IF('Cost Margin'!$I33="",'Cost Margin'!$B$9,'Cost Margin'!$I33)=""),0,IF(MIN(IF('Cost Margin'!$I33="",'Cost Margin'!$B$9,'Cost Margin'!$I33),D$6)&lt;MAX(IF('Cost Margin'!$H33="",'Cost Margin'!$B$8,'Cost Margin'!$H33),D$5),0,IFERROR(NETWORKDAYS(MAX(IF('Cost Margin'!$H33="",'Cost Margin'!$B$8,'Cost Margin'!$H33),D$5),MIN(IF('Cost Margin'!$I33="",'Cost Margin'!$B$9,'Cost Margin'!$I33),D$6),INDEX(Settings!$J$7:$M$60,0,MATCH('Cost Margin'!$C33,Settings!$J$6:$M$6,0))),NETWORKDAYS(MAX(IF('Cost Margin'!$H33="",'Cost Margin'!$B$8,'Cost Margin'!$H33),D$5),MIN(IF('Cost Margin'!$I33="",'Cost Margin'!$B$9,'Cost Margin'!$I33),D$6)))))</f>
        <v>0</v>
      </c>
      <c r="E25" s="34">
        <f>IF(OR(E$5="",'Cost Margin'!$A33="",IF('Cost Margin'!$H33="",'Cost Margin'!$B$8,'Cost Margin'!$H33)="",IF('Cost Margin'!$I33="",'Cost Margin'!$B$9,'Cost Margin'!$I33)=""),0,IF(MIN(IF('Cost Margin'!$I33="",'Cost Margin'!$B$9,'Cost Margin'!$I33),E$6)&lt;MAX(IF('Cost Margin'!$H33="",'Cost Margin'!$B$8,'Cost Margin'!$H33),E$5),0,IFERROR(NETWORKDAYS(MAX(IF('Cost Margin'!$H33="",'Cost Margin'!$B$8,'Cost Margin'!$H33),E$5),MIN(IF('Cost Margin'!$I33="",'Cost Margin'!$B$9,'Cost Margin'!$I33),E$6),INDEX(Settings!$J$7:$M$60,0,MATCH('Cost Margin'!$C33,Settings!$J$6:$M$6,0))),NETWORKDAYS(MAX(IF('Cost Margin'!$H33="",'Cost Margin'!$B$8,'Cost Margin'!$H33),E$5),MIN(IF('Cost Margin'!$I33="",'Cost Margin'!$B$9,'Cost Margin'!$I33),E$6)))))</f>
        <v>0</v>
      </c>
      <c r="F25" s="34">
        <f>IF(OR(F$5="",'Cost Margin'!$A33="",IF('Cost Margin'!$H33="",'Cost Margin'!$B$8,'Cost Margin'!$H33)="",IF('Cost Margin'!$I33="",'Cost Margin'!$B$9,'Cost Margin'!$I33)=""),0,IF(MIN(IF('Cost Margin'!$I33="",'Cost Margin'!$B$9,'Cost Margin'!$I33),F$6)&lt;MAX(IF('Cost Margin'!$H33="",'Cost Margin'!$B$8,'Cost Margin'!$H33),F$5),0,IFERROR(NETWORKDAYS(MAX(IF('Cost Margin'!$H33="",'Cost Margin'!$B$8,'Cost Margin'!$H33),F$5),MIN(IF('Cost Margin'!$I33="",'Cost Margin'!$B$9,'Cost Margin'!$I33),F$6),INDEX(Settings!$J$7:$M$60,0,MATCH('Cost Margin'!$C33,Settings!$J$6:$M$6,0))),NETWORKDAYS(MAX(IF('Cost Margin'!$H33="",'Cost Margin'!$B$8,'Cost Margin'!$H33),F$5),MIN(IF('Cost Margin'!$I33="",'Cost Margin'!$B$9,'Cost Margin'!$I33),F$6)))))</f>
        <v>0</v>
      </c>
      <c r="G25" s="34">
        <f>IF(OR(G$5="",'Cost Margin'!$A33="",IF('Cost Margin'!$H33="",'Cost Margin'!$B$8,'Cost Margin'!$H33)="",IF('Cost Margin'!$I33="",'Cost Margin'!$B$9,'Cost Margin'!$I33)=""),0,IF(MIN(IF('Cost Margin'!$I33="",'Cost Margin'!$B$9,'Cost Margin'!$I33),G$6)&lt;MAX(IF('Cost Margin'!$H33="",'Cost Margin'!$B$8,'Cost Margin'!$H33),G$5),0,IFERROR(NETWORKDAYS(MAX(IF('Cost Margin'!$H33="",'Cost Margin'!$B$8,'Cost Margin'!$H33),G$5),MIN(IF('Cost Margin'!$I33="",'Cost Margin'!$B$9,'Cost Margin'!$I33),G$6),INDEX(Settings!$J$7:$M$60,0,MATCH('Cost Margin'!$C33,Settings!$J$6:$M$6,0))),NETWORKDAYS(MAX(IF('Cost Margin'!$H33="",'Cost Margin'!$B$8,'Cost Margin'!$H33),G$5),MIN(IF('Cost Margin'!$I33="",'Cost Margin'!$B$9,'Cost Margin'!$I33),G$6)))))</f>
        <v>0</v>
      </c>
      <c r="H25" s="34">
        <f>IF(OR(H$5="",'Cost Margin'!$A33="",IF('Cost Margin'!$H33="",'Cost Margin'!$B$8,'Cost Margin'!$H33)="",IF('Cost Margin'!$I33="",'Cost Margin'!$B$9,'Cost Margin'!$I33)=""),0,IF(MIN(IF('Cost Margin'!$I33="",'Cost Margin'!$B$9,'Cost Margin'!$I33),H$6)&lt;MAX(IF('Cost Margin'!$H33="",'Cost Margin'!$B$8,'Cost Margin'!$H33),H$5),0,IFERROR(NETWORKDAYS(MAX(IF('Cost Margin'!$H33="",'Cost Margin'!$B$8,'Cost Margin'!$H33),H$5),MIN(IF('Cost Margin'!$I33="",'Cost Margin'!$B$9,'Cost Margin'!$I33),H$6),INDEX(Settings!$J$7:$M$60,0,MATCH('Cost Margin'!$C33,Settings!$J$6:$M$6,0))),NETWORKDAYS(MAX(IF('Cost Margin'!$H33="",'Cost Margin'!$B$8,'Cost Margin'!$H33),H$5),MIN(IF('Cost Margin'!$I33="",'Cost Margin'!$B$9,'Cost Margin'!$I33),H$6)))))</f>
        <v>0</v>
      </c>
      <c r="I25" s="34">
        <f>IF(OR(I$5="",'Cost Margin'!$A33="",IF('Cost Margin'!$H33="",'Cost Margin'!$B$8,'Cost Margin'!$H33)="",IF('Cost Margin'!$I33="",'Cost Margin'!$B$9,'Cost Margin'!$I33)=""),0,IF(MIN(IF('Cost Margin'!$I33="",'Cost Margin'!$B$9,'Cost Margin'!$I33),I$6)&lt;MAX(IF('Cost Margin'!$H33="",'Cost Margin'!$B$8,'Cost Margin'!$H33),I$5),0,IFERROR(NETWORKDAYS(MAX(IF('Cost Margin'!$H33="",'Cost Margin'!$B$8,'Cost Margin'!$H33),I$5),MIN(IF('Cost Margin'!$I33="",'Cost Margin'!$B$9,'Cost Margin'!$I33),I$6),INDEX(Settings!$J$7:$M$60,0,MATCH('Cost Margin'!$C33,Settings!$J$6:$M$6,0))),NETWORKDAYS(MAX(IF('Cost Margin'!$H33="",'Cost Margin'!$B$8,'Cost Margin'!$H33),I$5),MIN(IF('Cost Margin'!$I33="",'Cost Margin'!$B$9,'Cost Margin'!$I33),I$6)))))</f>
        <v>0</v>
      </c>
      <c r="J25" s="34">
        <f>IF(OR(J$5="",'Cost Margin'!$A33="",IF('Cost Margin'!$H33="",'Cost Margin'!$B$8,'Cost Margin'!$H33)="",IF('Cost Margin'!$I33="",'Cost Margin'!$B$9,'Cost Margin'!$I33)=""),0,IF(MIN(IF('Cost Margin'!$I33="",'Cost Margin'!$B$9,'Cost Margin'!$I33),J$6)&lt;MAX(IF('Cost Margin'!$H33="",'Cost Margin'!$B$8,'Cost Margin'!$H33),J$5),0,IFERROR(NETWORKDAYS(MAX(IF('Cost Margin'!$H33="",'Cost Margin'!$B$8,'Cost Margin'!$H33),J$5),MIN(IF('Cost Margin'!$I33="",'Cost Margin'!$B$9,'Cost Margin'!$I33),J$6),INDEX(Settings!$J$7:$M$60,0,MATCH('Cost Margin'!$C33,Settings!$J$6:$M$6,0))),NETWORKDAYS(MAX(IF('Cost Margin'!$H33="",'Cost Margin'!$B$8,'Cost Margin'!$H33),J$5),MIN(IF('Cost Margin'!$I33="",'Cost Margin'!$B$9,'Cost Margin'!$I33),J$6)))))</f>
        <v>0</v>
      </c>
      <c r="K25" s="34">
        <f>IF(OR(K$5="",'Cost Margin'!$A33="",IF('Cost Margin'!$H33="",'Cost Margin'!$B$8,'Cost Margin'!$H33)="",IF('Cost Margin'!$I33="",'Cost Margin'!$B$9,'Cost Margin'!$I33)=""),0,IF(MIN(IF('Cost Margin'!$I33="",'Cost Margin'!$B$9,'Cost Margin'!$I33),K$6)&lt;MAX(IF('Cost Margin'!$H33="",'Cost Margin'!$B$8,'Cost Margin'!$H33),K$5),0,IFERROR(NETWORKDAYS(MAX(IF('Cost Margin'!$H33="",'Cost Margin'!$B$8,'Cost Margin'!$H33),K$5),MIN(IF('Cost Margin'!$I33="",'Cost Margin'!$B$9,'Cost Margin'!$I33),K$6),INDEX(Settings!$J$7:$M$60,0,MATCH('Cost Margin'!$C33,Settings!$J$6:$M$6,0))),NETWORKDAYS(MAX(IF('Cost Margin'!$H33="",'Cost Margin'!$B$8,'Cost Margin'!$H33),K$5),MIN(IF('Cost Margin'!$I33="",'Cost Margin'!$B$9,'Cost Margin'!$I33),K$6)))))</f>
        <v>0</v>
      </c>
      <c r="L25" s="34">
        <f>IF(OR(L$5="",'Cost Margin'!$A33="",IF('Cost Margin'!$H33="",'Cost Margin'!$B$8,'Cost Margin'!$H33)="",IF('Cost Margin'!$I33="",'Cost Margin'!$B$9,'Cost Margin'!$I33)=""),0,IF(MIN(IF('Cost Margin'!$I33="",'Cost Margin'!$B$9,'Cost Margin'!$I33),L$6)&lt;MAX(IF('Cost Margin'!$H33="",'Cost Margin'!$B$8,'Cost Margin'!$H33),L$5),0,IFERROR(NETWORKDAYS(MAX(IF('Cost Margin'!$H33="",'Cost Margin'!$B$8,'Cost Margin'!$H33),L$5),MIN(IF('Cost Margin'!$I33="",'Cost Margin'!$B$9,'Cost Margin'!$I33),L$6),INDEX(Settings!$J$7:$M$60,0,MATCH('Cost Margin'!$C33,Settings!$J$6:$M$6,0))),NETWORKDAYS(MAX(IF('Cost Margin'!$H33="",'Cost Margin'!$B$8,'Cost Margin'!$H33),L$5),MIN(IF('Cost Margin'!$I33="",'Cost Margin'!$B$9,'Cost Margin'!$I33),L$6)))))</f>
        <v>0</v>
      </c>
      <c r="M25" s="34">
        <f>IF(OR(M$5="",'Cost Margin'!$A33="",IF('Cost Margin'!$H33="",'Cost Margin'!$B$8,'Cost Margin'!$H33)="",IF('Cost Margin'!$I33="",'Cost Margin'!$B$9,'Cost Margin'!$I33)=""),0,IF(MIN(IF('Cost Margin'!$I33="",'Cost Margin'!$B$9,'Cost Margin'!$I33),M$6)&lt;MAX(IF('Cost Margin'!$H33="",'Cost Margin'!$B$8,'Cost Margin'!$H33),M$5),0,IFERROR(NETWORKDAYS(MAX(IF('Cost Margin'!$H33="",'Cost Margin'!$B$8,'Cost Margin'!$H33),M$5),MIN(IF('Cost Margin'!$I33="",'Cost Margin'!$B$9,'Cost Margin'!$I33),M$6),INDEX(Settings!$J$7:$M$60,0,MATCH('Cost Margin'!$C33,Settings!$J$6:$M$6,0))),NETWORKDAYS(MAX(IF('Cost Margin'!$H33="",'Cost Margin'!$B$8,'Cost Margin'!$H33),M$5),MIN(IF('Cost Margin'!$I33="",'Cost Margin'!$B$9,'Cost Margin'!$I33),M$6)))))</f>
        <v>0</v>
      </c>
      <c r="N25" s="34">
        <f>IF(OR(N$5="",'Cost Margin'!$A33="",IF('Cost Margin'!$H33="",'Cost Margin'!$B$8,'Cost Margin'!$H33)="",IF('Cost Margin'!$I33="",'Cost Margin'!$B$9,'Cost Margin'!$I33)=""),0,IF(MIN(IF('Cost Margin'!$I33="",'Cost Margin'!$B$9,'Cost Margin'!$I33),N$6)&lt;MAX(IF('Cost Margin'!$H33="",'Cost Margin'!$B$8,'Cost Margin'!$H33),N$5),0,IFERROR(NETWORKDAYS(MAX(IF('Cost Margin'!$H33="",'Cost Margin'!$B$8,'Cost Margin'!$H33),N$5),MIN(IF('Cost Margin'!$I33="",'Cost Margin'!$B$9,'Cost Margin'!$I33),N$6),INDEX(Settings!$J$7:$M$60,0,MATCH('Cost Margin'!$C33,Settings!$J$6:$M$6,0))),NETWORKDAYS(MAX(IF('Cost Margin'!$H33="",'Cost Margin'!$B$8,'Cost Margin'!$H33),N$5),MIN(IF('Cost Margin'!$I33="",'Cost Margin'!$B$9,'Cost Margin'!$I33),N$6)))))</f>
        <v>0</v>
      </c>
      <c r="O25" s="34">
        <f>IF(OR(O$5="",'Cost Margin'!$A33="",IF('Cost Margin'!$H33="",'Cost Margin'!$B$8,'Cost Margin'!$H33)="",IF('Cost Margin'!$I33="",'Cost Margin'!$B$9,'Cost Margin'!$I33)=""),0,IF(MIN(IF('Cost Margin'!$I33="",'Cost Margin'!$B$9,'Cost Margin'!$I33),O$6)&lt;MAX(IF('Cost Margin'!$H33="",'Cost Margin'!$B$8,'Cost Margin'!$H33),O$5),0,IFERROR(NETWORKDAYS(MAX(IF('Cost Margin'!$H33="",'Cost Margin'!$B$8,'Cost Margin'!$H33),O$5),MIN(IF('Cost Margin'!$I33="",'Cost Margin'!$B$9,'Cost Margin'!$I33),O$6),INDEX(Settings!$J$7:$M$60,0,MATCH('Cost Margin'!$C33,Settings!$J$6:$M$6,0))),NETWORKDAYS(MAX(IF('Cost Margin'!$H33="",'Cost Margin'!$B$8,'Cost Margin'!$H33),O$5),MIN(IF('Cost Margin'!$I33="",'Cost Margin'!$B$9,'Cost Margin'!$I33),O$6)))))</f>
        <v>0</v>
      </c>
      <c r="P25" s="34">
        <f>IF(OR(P$5="",'Cost Margin'!$A33="",IF('Cost Margin'!$H33="",'Cost Margin'!$B$8,'Cost Margin'!$H33)="",IF('Cost Margin'!$I33="",'Cost Margin'!$B$9,'Cost Margin'!$I33)=""),0,IF(MIN(IF('Cost Margin'!$I33="",'Cost Margin'!$B$9,'Cost Margin'!$I33),P$6)&lt;MAX(IF('Cost Margin'!$H33="",'Cost Margin'!$B$8,'Cost Margin'!$H33),P$5),0,IFERROR(NETWORKDAYS(MAX(IF('Cost Margin'!$H33="",'Cost Margin'!$B$8,'Cost Margin'!$H33),P$5),MIN(IF('Cost Margin'!$I33="",'Cost Margin'!$B$9,'Cost Margin'!$I33),P$6),INDEX(Settings!$J$7:$M$60,0,MATCH('Cost Margin'!$C33,Settings!$J$6:$M$6,0))),NETWORKDAYS(MAX(IF('Cost Margin'!$H33="",'Cost Margin'!$B$8,'Cost Margin'!$H33),P$5),MIN(IF('Cost Margin'!$I33="",'Cost Margin'!$B$9,'Cost Margin'!$I33),P$6)))))</f>
        <v>0</v>
      </c>
      <c r="Q25" s="34">
        <f>IF(OR(Q$5="",'Cost Margin'!$A33="",IF('Cost Margin'!$H33="",'Cost Margin'!$B$8,'Cost Margin'!$H33)="",IF('Cost Margin'!$I33="",'Cost Margin'!$B$9,'Cost Margin'!$I33)=""),0,IF(MIN(IF('Cost Margin'!$I33="",'Cost Margin'!$B$9,'Cost Margin'!$I33),Q$6)&lt;MAX(IF('Cost Margin'!$H33="",'Cost Margin'!$B$8,'Cost Margin'!$H33),Q$5),0,IFERROR(NETWORKDAYS(MAX(IF('Cost Margin'!$H33="",'Cost Margin'!$B$8,'Cost Margin'!$H33),Q$5),MIN(IF('Cost Margin'!$I33="",'Cost Margin'!$B$9,'Cost Margin'!$I33),Q$6),INDEX(Settings!$J$7:$M$60,0,MATCH('Cost Margin'!$C33,Settings!$J$6:$M$6,0))),NETWORKDAYS(MAX(IF('Cost Margin'!$H33="",'Cost Margin'!$B$8,'Cost Margin'!$H33),Q$5),MIN(IF('Cost Margin'!$I33="",'Cost Margin'!$B$9,'Cost Margin'!$I33),Q$6)))))</f>
        <v>0</v>
      </c>
      <c r="R25" s="34">
        <f>IF(OR(R$5="",'Cost Margin'!$A33="",IF('Cost Margin'!$H33="",'Cost Margin'!$B$8,'Cost Margin'!$H33)="",IF('Cost Margin'!$I33="",'Cost Margin'!$B$9,'Cost Margin'!$I33)=""),0,IF(MIN(IF('Cost Margin'!$I33="",'Cost Margin'!$B$9,'Cost Margin'!$I33),R$6)&lt;MAX(IF('Cost Margin'!$H33="",'Cost Margin'!$B$8,'Cost Margin'!$H33),R$5),0,IFERROR(NETWORKDAYS(MAX(IF('Cost Margin'!$H33="",'Cost Margin'!$B$8,'Cost Margin'!$H33),R$5),MIN(IF('Cost Margin'!$I33="",'Cost Margin'!$B$9,'Cost Margin'!$I33),R$6),INDEX(Settings!$J$7:$M$60,0,MATCH('Cost Margin'!$C33,Settings!$J$6:$M$6,0))),NETWORKDAYS(MAX(IF('Cost Margin'!$H33="",'Cost Margin'!$B$8,'Cost Margin'!$H33),R$5),MIN(IF('Cost Margin'!$I33="",'Cost Margin'!$B$9,'Cost Margin'!$I33),R$6)))))</f>
        <v>0</v>
      </c>
      <c r="S25" s="34">
        <f>IF(OR(S$5="",'Cost Margin'!$A33="",IF('Cost Margin'!$H33="",'Cost Margin'!$B$8,'Cost Margin'!$H33)="",IF('Cost Margin'!$I33="",'Cost Margin'!$B$9,'Cost Margin'!$I33)=""),0,IF(MIN(IF('Cost Margin'!$I33="",'Cost Margin'!$B$9,'Cost Margin'!$I33),S$6)&lt;MAX(IF('Cost Margin'!$H33="",'Cost Margin'!$B$8,'Cost Margin'!$H33),S$5),0,IFERROR(NETWORKDAYS(MAX(IF('Cost Margin'!$H33="",'Cost Margin'!$B$8,'Cost Margin'!$H33),S$5),MIN(IF('Cost Margin'!$I33="",'Cost Margin'!$B$9,'Cost Margin'!$I33),S$6),INDEX(Settings!$J$7:$M$60,0,MATCH('Cost Margin'!$C33,Settings!$J$6:$M$6,0))),NETWORKDAYS(MAX(IF('Cost Margin'!$H33="",'Cost Margin'!$B$8,'Cost Margin'!$H33),S$5),MIN(IF('Cost Margin'!$I33="",'Cost Margin'!$B$9,'Cost Margin'!$I33),S$6)))))</f>
        <v>0</v>
      </c>
      <c r="T25" s="34">
        <f>IF(OR(T$5="",'Cost Margin'!$A33="",IF('Cost Margin'!$H33="",'Cost Margin'!$B$8,'Cost Margin'!$H33)="",IF('Cost Margin'!$I33="",'Cost Margin'!$B$9,'Cost Margin'!$I33)=""),0,IF(MIN(IF('Cost Margin'!$I33="",'Cost Margin'!$B$9,'Cost Margin'!$I33),T$6)&lt;MAX(IF('Cost Margin'!$H33="",'Cost Margin'!$B$8,'Cost Margin'!$H33),T$5),0,IFERROR(NETWORKDAYS(MAX(IF('Cost Margin'!$H33="",'Cost Margin'!$B$8,'Cost Margin'!$H33),T$5),MIN(IF('Cost Margin'!$I33="",'Cost Margin'!$B$9,'Cost Margin'!$I33),T$6),INDEX(Settings!$J$7:$M$60,0,MATCH('Cost Margin'!$C33,Settings!$J$6:$M$6,0))),NETWORKDAYS(MAX(IF('Cost Margin'!$H33="",'Cost Margin'!$B$8,'Cost Margin'!$H33),T$5),MIN(IF('Cost Margin'!$I33="",'Cost Margin'!$B$9,'Cost Margin'!$I33),T$6)))))</f>
        <v>0</v>
      </c>
      <c r="U25" s="34">
        <f>IF(OR(U$5="",'Cost Margin'!$A33="",IF('Cost Margin'!$H33="",'Cost Margin'!$B$8,'Cost Margin'!$H33)="",IF('Cost Margin'!$I33="",'Cost Margin'!$B$9,'Cost Margin'!$I33)=""),0,IF(MIN(IF('Cost Margin'!$I33="",'Cost Margin'!$B$9,'Cost Margin'!$I33),U$6)&lt;MAX(IF('Cost Margin'!$H33="",'Cost Margin'!$B$8,'Cost Margin'!$H33),U$5),0,IFERROR(NETWORKDAYS(MAX(IF('Cost Margin'!$H33="",'Cost Margin'!$B$8,'Cost Margin'!$H33),U$5),MIN(IF('Cost Margin'!$I33="",'Cost Margin'!$B$9,'Cost Margin'!$I33),U$6),INDEX(Settings!$J$7:$M$60,0,MATCH('Cost Margin'!$C33,Settings!$J$6:$M$6,0))),NETWORKDAYS(MAX(IF('Cost Margin'!$H33="",'Cost Margin'!$B$8,'Cost Margin'!$H33),U$5),MIN(IF('Cost Margin'!$I33="",'Cost Margin'!$B$9,'Cost Margin'!$I33),U$6)))))</f>
        <v>0</v>
      </c>
      <c r="V25" s="34">
        <f>IF(OR(V$5="",'Cost Margin'!$A33="",IF('Cost Margin'!$H33="",'Cost Margin'!$B$8,'Cost Margin'!$H33)="",IF('Cost Margin'!$I33="",'Cost Margin'!$B$9,'Cost Margin'!$I33)=""),0,IF(MIN(IF('Cost Margin'!$I33="",'Cost Margin'!$B$9,'Cost Margin'!$I33),V$6)&lt;MAX(IF('Cost Margin'!$H33="",'Cost Margin'!$B$8,'Cost Margin'!$H33),V$5),0,IFERROR(NETWORKDAYS(MAX(IF('Cost Margin'!$H33="",'Cost Margin'!$B$8,'Cost Margin'!$H33),V$5),MIN(IF('Cost Margin'!$I33="",'Cost Margin'!$B$9,'Cost Margin'!$I33),V$6),INDEX(Settings!$J$7:$M$60,0,MATCH('Cost Margin'!$C33,Settings!$J$6:$M$6,0))),NETWORKDAYS(MAX(IF('Cost Margin'!$H33="",'Cost Margin'!$B$8,'Cost Margin'!$H33),V$5),MIN(IF('Cost Margin'!$I33="",'Cost Margin'!$B$9,'Cost Margin'!$I33),V$6)))))</f>
        <v>0</v>
      </c>
      <c r="W25" s="34">
        <f>IF(OR(W$5="",'Cost Margin'!$A33="",IF('Cost Margin'!$H33="",'Cost Margin'!$B$8,'Cost Margin'!$H33)="",IF('Cost Margin'!$I33="",'Cost Margin'!$B$9,'Cost Margin'!$I33)=""),0,IF(MIN(IF('Cost Margin'!$I33="",'Cost Margin'!$B$9,'Cost Margin'!$I33),W$6)&lt;MAX(IF('Cost Margin'!$H33="",'Cost Margin'!$B$8,'Cost Margin'!$H33),W$5),0,IFERROR(NETWORKDAYS(MAX(IF('Cost Margin'!$H33="",'Cost Margin'!$B$8,'Cost Margin'!$H33),W$5),MIN(IF('Cost Margin'!$I33="",'Cost Margin'!$B$9,'Cost Margin'!$I33),W$6),INDEX(Settings!$J$7:$M$60,0,MATCH('Cost Margin'!$C33,Settings!$J$6:$M$6,0))),NETWORKDAYS(MAX(IF('Cost Margin'!$H33="",'Cost Margin'!$B$8,'Cost Margin'!$H33),W$5),MIN(IF('Cost Margin'!$I33="",'Cost Margin'!$B$9,'Cost Margin'!$I33),W$6)))))</f>
        <v>0</v>
      </c>
      <c r="X25" s="34">
        <f>IF(OR(X$5="",'Cost Margin'!$A33="",IF('Cost Margin'!$H33="",'Cost Margin'!$B$8,'Cost Margin'!$H33)="",IF('Cost Margin'!$I33="",'Cost Margin'!$B$9,'Cost Margin'!$I33)=""),0,IF(MIN(IF('Cost Margin'!$I33="",'Cost Margin'!$B$9,'Cost Margin'!$I33),X$6)&lt;MAX(IF('Cost Margin'!$H33="",'Cost Margin'!$B$8,'Cost Margin'!$H33),X$5),0,IFERROR(NETWORKDAYS(MAX(IF('Cost Margin'!$H33="",'Cost Margin'!$B$8,'Cost Margin'!$H33),X$5),MIN(IF('Cost Margin'!$I33="",'Cost Margin'!$B$9,'Cost Margin'!$I33),X$6),INDEX(Settings!$J$7:$M$60,0,MATCH('Cost Margin'!$C33,Settings!$J$6:$M$6,0))),NETWORKDAYS(MAX(IF('Cost Margin'!$H33="",'Cost Margin'!$B$8,'Cost Margin'!$H33),X$5),MIN(IF('Cost Margin'!$I33="",'Cost Margin'!$B$9,'Cost Margin'!$I33),X$6)))))</f>
        <v>0</v>
      </c>
      <c r="Y25" s="34">
        <f>IF(OR(Y$5="",'Cost Margin'!$A33="",IF('Cost Margin'!$H33="",'Cost Margin'!$B$8,'Cost Margin'!$H33)="",IF('Cost Margin'!$I33="",'Cost Margin'!$B$9,'Cost Margin'!$I33)=""),0,IF(MIN(IF('Cost Margin'!$I33="",'Cost Margin'!$B$9,'Cost Margin'!$I33),Y$6)&lt;MAX(IF('Cost Margin'!$H33="",'Cost Margin'!$B$8,'Cost Margin'!$H33),Y$5),0,IFERROR(NETWORKDAYS(MAX(IF('Cost Margin'!$H33="",'Cost Margin'!$B$8,'Cost Margin'!$H33),Y$5),MIN(IF('Cost Margin'!$I33="",'Cost Margin'!$B$9,'Cost Margin'!$I33),Y$6),INDEX(Settings!$J$7:$M$60,0,MATCH('Cost Margin'!$C33,Settings!$J$6:$M$6,0))),NETWORKDAYS(MAX(IF('Cost Margin'!$H33="",'Cost Margin'!$B$8,'Cost Margin'!$H33),Y$5),MIN(IF('Cost Margin'!$I33="",'Cost Margin'!$B$9,'Cost Margin'!$I33),Y$6)))))</f>
        <v>0</v>
      </c>
      <c r="Z25" s="34">
        <f>IF(OR(Z$5="",'Cost Margin'!$A33="",IF('Cost Margin'!$H33="",'Cost Margin'!$B$8,'Cost Margin'!$H33)="",IF('Cost Margin'!$I33="",'Cost Margin'!$B$9,'Cost Margin'!$I33)=""),0,IF(MIN(IF('Cost Margin'!$I33="",'Cost Margin'!$B$9,'Cost Margin'!$I33),Z$6)&lt;MAX(IF('Cost Margin'!$H33="",'Cost Margin'!$B$8,'Cost Margin'!$H33),Z$5),0,IFERROR(NETWORKDAYS(MAX(IF('Cost Margin'!$H33="",'Cost Margin'!$B$8,'Cost Margin'!$H33),Z$5),MIN(IF('Cost Margin'!$I33="",'Cost Margin'!$B$9,'Cost Margin'!$I33),Z$6),INDEX(Settings!$J$7:$M$60,0,MATCH('Cost Margin'!$C33,Settings!$J$6:$M$6,0))),NETWORKDAYS(MAX(IF('Cost Margin'!$H33="",'Cost Margin'!$B$8,'Cost Margin'!$H33),Z$5),MIN(IF('Cost Margin'!$I33="",'Cost Margin'!$B$9,'Cost Margin'!$I33),Z$6)))))</f>
        <v>0</v>
      </c>
    </row>
    <row r="26" spans="1:26" x14ac:dyDescent="0.2">
      <c r="A26">
        <v>18</v>
      </c>
      <c r="B26" s="33" t="str">
        <f>IF('Cost Margin'!A34="","",'Cost Margin'!A34)</f>
        <v/>
      </c>
      <c r="C26" s="34">
        <f>IF(OR(C$5="",'Cost Margin'!$A34="",IF('Cost Margin'!$H34="",'Cost Margin'!$B$8,'Cost Margin'!$H34)="",IF('Cost Margin'!$I34="",'Cost Margin'!$B$9,'Cost Margin'!$I34)=""),0,IF(MIN(IF('Cost Margin'!$I34="",'Cost Margin'!$B$9,'Cost Margin'!$I34),C$6)&lt;MAX(IF('Cost Margin'!$H34="",'Cost Margin'!$B$8,'Cost Margin'!$H34),C$5),0,IFERROR(NETWORKDAYS(MAX(IF('Cost Margin'!$H34="",'Cost Margin'!$B$8,'Cost Margin'!$H34),C$5),MIN(IF('Cost Margin'!$I34="",'Cost Margin'!$B$9,'Cost Margin'!$I34),C$6),INDEX(Settings!$J$7:$M$60,0,MATCH('Cost Margin'!$C34,Settings!$J$6:$M$6,0))),NETWORKDAYS(MAX(IF('Cost Margin'!$H34="",'Cost Margin'!$B$8,'Cost Margin'!$H34),C$5),MIN(IF('Cost Margin'!$I34="",'Cost Margin'!$B$9,'Cost Margin'!$I34),C$6)))))</f>
        <v>0</v>
      </c>
      <c r="D26" s="34">
        <f>IF(OR(D$5="",'Cost Margin'!$A34="",IF('Cost Margin'!$H34="",'Cost Margin'!$B$8,'Cost Margin'!$H34)="",IF('Cost Margin'!$I34="",'Cost Margin'!$B$9,'Cost Margin'!$I34)=""),0,IF(MIN(IF('Cost Margin'!$I34="",'Cost Margin'!$B$9,'Cost Margin'!$I34),D$6)&lt;MAX(IF('Cost Margin'!$H34="",'Cost Margin'!$B$8,'Cost Margin'!$H34),D$5),0,IFERROR(NETWORKDAYS(MAX(IF('Cost Margin'!$H34="",'Cost Margin'!$B$8,'Cost Margin'!$H34),D$5),MIN(IF('Cost Margin'!$I34="",'Cost Margin'!$B$9,'Cost Margin'!$I34),D$6),INDEX(Settings!$J$7:$M$60,0,MATCH('Cost Margin'!$C34,Settings!$J$6:$M$6,0))),NETWORKDAYS(MAX(IF('Cost Margin'!$H34="",'Cost Margin'!$B$8,'Cost Margin'!$H34),D$5),MIN(IF('Cost Margin'!$I34="",'Cost Margin'!$B$9,'Cost Margin'!$I34),D$6)))))</f>
        <v>0</v>
      </c>
      <c r="E26" s="34">
        <f>IF(OR(E$5="",'Cost Margin'!$A34="",IF('Cost Margin'!$H34="",'Cost Margin'!$B$8,'Cost Margin'!$H34)="",IF('Cost Margin'!$I34="",'Cost Margin'!$B$9,'Cost Margin'!$I34)=""),0,IF(MIN(IF('Cost Margin'!$I34="",'Cost Margin'!$B$9,'Cost Margin'!$I34),E$6)&lt;MAX(IF('Cost Margin'!$H34="",'Cost Margin'!$B$8,'Cost Margin'!$H34),E$5),0,IFERROR(NETWORKDAYS(MAX(IF('Cost Margin'!$H34="",'Cost Margin'!$B$8,'Cost Margin'!$H34),E$5),MIN(IF('Cost Margin'!$I34="",'Cost Margin'!$B$9,'Cost Margin'!$I34),E$6),INDEX(Settings!$J$7:$M$60,0,MATCH('Cost Margin'!$C34,Settings!$J$6:$M$6,0))),NETWORKDAYS(MAX(IF('Cost Margin'!$H34="",'Cost Margin'!$B$8,'Cost Margin'!$H34),E$5),MIN(IF('Cost Margin'!$I34="",'Cost Margin'!$B$9,'Cost Margin'!$I34),E$6)))))</f>
        <v>0</v>
      </c>
      <c r="F26" s="34">
        <f>IF(OR(F$5="",'Cost Margin'!$A34="",IF('Cost Margin'!$H34="",'Cost Margin'!$B$8,'Cost Margin'!$H34)="",IF('Cost Margin'!$I34="",'Cost Margin'!$B$9,'Cost Margin'!$I34)=""),0,IF(MIN(IF('Cost Margin'!$I34="",'Cost Margin'!$B$9,'Cost Margin'!$I34),F$6)&lt;MAX(IF('Cost Margin'!$H34="",'Cost Margin'!$B$8,'Cost Margin'!$H34),F$5),0,IFERROR(NETWORKDAYS(MAX(IF('Cost Margin'!$H34="",'Cost Margin'!$B$8,'Cost Margin'!$H34),F$5),MIN(IF('Cost Margin'!$I34="",'Cost Margin'!$B$9,'Cost Margin'!$I34),F$6),INDEX(Settings!$J$7:$M$60,0,MATCH('Cost Margin'!$C34,Settings!$J$6:$M$6,0))),NETWORKDAYS(MAX(IF('Cost Margin'!$H34="",'Cost Margin'!$B$8,'Cost Margin'!$H34),F$5),MIN(IF('Cost Margin'!$I34="",'Cost Margin'!$B$9,'Cost Margin'!$I34),F$6)))))</f>
        <v>0</v>
      </c>
      <c r="G26" s="34">
        <f>IF(OR(G$5="",'Cost Margin'!$A34="",IF('Cost Margin'!$H34="",'Cost Margin'!$B$8,'Cost Margin'!$H34)="",IF('Cost Margin'!$I34="",'Cost Margin'!$B$9,'Cost Margin'!$I34)=""),0,IF(MIN(IF('Cost Margin'!$I34="",'Cost Margin'!$B$9,'Cost Margin'!$I34),G$6)&lt;MAX(IF('Cost Margin'!$H34="",'Cost Margin'!$B$8,'Cost Margin'!$H34),G$5),0,IFERROR(NETWORKDAYS(MAX(IF('Cost Margin'!$H34="",'Cost Margin'!$B$8,'Cost Margin'!$H34),G$5),MIN(IF('Cost Margin'!$I34="",'Cost Margin'!$B$9,'Cost Margin'!$I34),G$6),INDEX(Settings!$J$7:$M$60,0,MATCH('Cost Margin'!$C34,Settings!$J$6:$M$6,0))),NETWORKDAYS(MAX(IF('Cost Margin'!$H34="",'Cost Margin'!$B$8,'Cost Margin'!$H34),G$5),MIN(IF('Cost Margin'!$I34="",'Cost Margin'!$B$9,'Cost Margin'!$I34),G$6)))))</f>
        <v>0</v>
      </c>
      <c r="H26" s="34">
        <f>IF(OR(H$5="",'Cost Margin'!$A34="",IF('Cost Margin'!$H34="",'Cost Margin'!$B$8,'Cost Margin'!$H34)="",IF('Cost Margin'!$I34="",'Cost Margin'!$B$9,'Cost Margin'!$I34)=""),0,IF(MIN(IF('Cost Margin'!$I34="",'Cost Margin'!$B$9,'Cost Margin'!$I34),H$6)&lt;MAX(IF('Cost Margin'!$H34="",'Cost Margin'!$B$8,'Cost Margin'!$H34),H$5),0,IFERROR(NETWORKDAYS(MAX(IF('Cost Margin'!$H34="",'Cost Margin'!$B$8,'Cost Margin'!$H34),H$5),MIN(IF('Cost Margin'!$I34="",'Cost Margin'!$B$9,'Cost Margin'!$I34),H$6),INDEX(Settings!$J$7:$M$60,0,MATCH('Cost Margin'!$C34,Settings!$J$6:$M$6,0))),NETWORKDAYS(MAX(IF('Cost Margin'!$H34="",'Cost Margin'!$B$8,'Cost Margin'!$H34),H$5),MIN(IF('Cost Margin'!$I34="",'Cost Margin'!$B$9,'Cost Margin'!$I34),H$6)))))</f>
        <v>0</v>
      </c>
      <c r="I26" s="34">
        <f>IF(OR(I$5="",'Cost Margin'!$A34="",IF('Cost Margin'!$H34="",'Cost Margin'!$B$8,'Cost Margin'!$H34)="",IF('Cost Margin'!$I34="",'Cost Margin'!$B$9,'Cost Margin'!$I34)=""),0,IF(MIN(IF('Cost Margin'!$I34="",'Cost Margin'!$B$9,'Cost Margin'!$I34),I$6)&lt;MAX(IF('Cost Margin'!$H34="",'Cost Margin'!$B$8,'Cost Margin'!$H34),I$5),0,IFERROR(NETWORKDAYS(MAX(IF('Cost Margin'!$H34="",'Cost Margin'!$B$8,'Cost Margin'!$H34),I$5),MIN(IF('Cost Margin'!$I34="",'Cost Margin'!$B$9,'Cost Margin'!$I34),I$6),INDEX(Settings!$J$7:$M$60,0,MATCH('Cost Margin'!$C34,Settings!$J$6:$M$6,0))),NETWORKDAYS(MAX(IF('Cost Margin'!$H34="",'Cost Margin'!$B$8,'Cost Margin'!$H34),I$5),MIN(IF('Cost Margin'!$I34="",'Cost Margin'!$B$9,'Cost Margin'!$I34),I$6)))))</f>
        <v>0</v>
      </c>
      <c r="J26" s="34">
        <f>IF(OR(J$5="",'Cost Margin'!$A34="",IF('Cost Margin'!$H34="",'Cost Margin'!$B$8,'Cost Margin'!$H34)="",IF('Cost Margin'!$I34="",'Cost Margin'!$B$9,'Cost Margin'!$I34)=""),0,IF(MIN(IF('Cost Margin'!$I34="",'Cost Margin'!$B$9,'Cost Margin'!$I34),J$6)&lt;MAX(IF('Cost Margin'!$H34="",'Cost Margin'!$B$8,'Cost Margin'!$H34),J$5),0,IFERROR(NETWORKDAYS(MAX(IF('Cost Margin'!$H34="",'Cost Margin'!$B$8,'Cost Margin'!$H34),J$5),MIN(IF('Cost Margin'!$I34="",'Cost Margin'!$B$9,'Cost Margin'!$I34),J$6),INDEX(Settings!$J$7:$M$60,0,MATCH('Cost Margin'!$C34,Settings!$J$6:$M$6,0))),NETWORKDAYS(MAX(IF('Cost Margin'!$H34="",'Cost Margin'!$B$8,'Cost Margin'!$H34),J$5),MIN(IF('Cost Margin'!$I34="",'Cost Margin'!$B$9,'Cost Margin'!$I34),J$6)))))</f>
        <v>0</v>
      </c>
      <c r="K26" s="34">
        <f>IF(OR(K$5="",'Cost Margin'!$A34="",IF('Cost Margin'!$H34="",'Cost Margin'!$B$8,'Cost Margin'!$H34)="",IF('Cost Margin'!$I34="",'Cost Margin'!$B$9,'Cost Margin'!$I34)=""),0,IF(MIN(IF('Cost Margin'!$I34="",'Cost Margin'!$B$9,'Cost Margin'!$I34),K$6)&lt;MAX(IF('Cost Margin'!$H34="",'Cost Margin'!$B$8,'Cost Margin'!$H34),K$5),0,IFERROR(NETWORKDAYS(MAX(IF('Cost Margin'!$H34="",'Cost Margin'!$B$8,'Cost Margin'!$H34),K$5),MIN(IF('Cost Margin'!$I34="",'Cost Margin'!$B$9,'Cost Margin'!$I34),K$6),INDEX(Settings!$J$7:$M$60,0,MATCH('Cost Margin'!$C34,Settings!$J$6:$M$6,0))),NETWORKDAYS(MAX(IF('Cost Margin'!$H34="",'Cost Margin'!$B$8,'Cost Margin'!$H34),K$5),MIN(IF('Cost Margin'!$I34="",'Cost Margin'!$B$9,'Cost Margin'!$I34),K$6)))))</f>
        <v>0</v>
      </c>
      <c r="L26" s="34">
        <f>IF(OR(L$5="",'Cost Margin'!$A34="",IF('Cost Margin'!$H34="",'Cost Margin'!$B$8,'Cost Margin'!$H34)="",IF('Cost Margin'!$I34="",'Cost Margin'!$B$9,'Cost Margin'!$I34)=""),0,IF(MIN(IF('Cost Margin'!$I34="",'Cost Margin'!$B$9,'Cost Margin'!$I34),L$6)&lt;MAX(IF('Cost Margin'!$H34="",'Cost Margin'!$B$8,'Cost Margin'!$H34),L$5),0,IFERROR(NETWORKDAYS(MAX(IF('Cost Margin'!$H34="",'Cost Margin'!$B$8,'Cost Margin'!$H34),L$5),MIN(IF('Cost Margin'!$I34="",'Cost Margin'!$B$9,'Cost Margin'!$I34),L$6),INDEX(Settings!$J$7:$M$60,0,MATCH('Cost Margin'!$C34,Settings!$J$6:$M$6,0))),NETWORKDAYS(MAX(IF('Cost Margin'!$H34="",'Cost Margin'!$B$8,'Cost Margin'!$H34),L$5),MIN(IF('Cost Margin'!$I34="",'Cost Margin'!$B$9,'Cost Margin'!$I34),L$6)))))</f>
        <v>0</v>
      </c>
      <c r="M26" s="34">
        <f>IF(OR(M$5="",'Cost Margin'!$A34="",IF('Cost Margin'!$H34="",'Cost Margin'!$B$8,'Cost Margin'!$H34)="",IF('Cost Margin'!$I34="",'Cost Margin'!$B$9,'Cost Margin'!$I34)=""),0,IF(MIN(IF('Cost Margin'!$I34="",'Cost Margin'!$B$9,'Cost Margin'!$I34),M$6)&lt;MAX(IF('Cost Margin'!$H34="",'Cost Margin'!$B$8,'Cost Margin'!$H34),M$5),0,IFERROR(NETWORKDAYS(MAX(IF('Cost Margin'!$H34="",'Cost Margin'!$B$8,'Cost Margin'!$H34),M$5),MIN(IF('Cost Margin'!$I34="",'Cost Margin'!$B$9,'Cost Margin'!$I34),M$6),INDEX(Settings!$J$7:$M$60,0,MATCH('Cost Margin'!$C34,Settings!$J$6:$M$6,0))),NETWORKDAYS(MAX(IF('Cost Margin'!$H34="",'Cost Margin'!$B$8,'Cost Margin'!$H34),M$5),MIN(IF('Cost Margin'!$I34="",'Cost Margin'!$B$9,'Cost Margin'!$I34),M$6)))))</f>
        <v>0</v>
      </c>
      <c r="N26" s="34">
        <f>IF(OR(N$5="",'Cost Margin'!$A34="",IF('Cost Margin'!$H34="",'Cost Margin'!$B$8,'Cost Margin'!$H34)="",IF('Cost Margin'!$I34="",'Cost Margin'!$B$9,'Cost Margin'!$I34)=""),0,IF(MIN(IF('Cost Margin'!$I34="",'Cost Margin'!$B$9,'Cost Margin'!$I34),N$6)&lt;MAX(IF('Cost Margin'!$H34="",'Cost Margin'!$B$8,'Cost Margin'!$H34),N$5),0,IFERROR(NETWORKDAYS(MAX(IF('Cost Margin'!$H34="",'Cost Margin'!$B$8,'Cost Margin'!$H34),N$5),MIN(IF('Cost Margin'!$I34="",'Cost Margin'!$B$9,'Cost Margin'!$I34),N$6),INDEX(Settings!$J$7:$M$60,0,MATCH('Cost Margin'!$C34,Settings!$J$6:$M$6,0))),NETWORKDAYS(MAX(IF('Cost Margin'!$H34="",'Cost Margin'!$B$8,'Cost Margin'!$H34),N$5),MIN(IF('Cost Margin'!$I34="",'Cost Margin'!$B$9,'Cost Margin'!$I34),N$6)))))</f>
        <v>0</v>
      </c>
      <c r="O26" s="34">
        <f>IF(OR(O$5="",'Cost Margin'!$A34="",IF('Cost Margin'!$H34="",'Cost Margin'!$B$8,'Cost Margin'!$H34)="",IF('Cost Margin'!$I34="",'Cost Margin'!$B$9,'Cost Margin'!$I34)=""),0,IF(MIN(IF('Cost Margin'!$I34="",'Cost Margin'!$B$9,'Cost Margin'!$I34),O$6)&lt;MAX(IF('Cost Margin'!$H34="",'Cost Margin'!$B$8,'Cost Margin'!$H34),O$5),0,IFERROR(NETWORKDAYS(MAX(IF('Cost Margin'!$H34="",'Cost Margin'!$B$8,'Cost Margin'!$H34),O$5),MIN(IF('Cost Margin'!$I34="",'Cost Margin'!$B$9,'Cost Margin'!$I34),O$6),INDEX(Settings!$J$7:$M$60,0,MATCH('Cost Margin'!$C34,Settings!$J$6:$M$6,0))),NETWORKDAYS(MAX(IF('Cost Margin'!$H34="",'Cost Margin'!$B$8,'Cost Margin'!$H34),O$5),MIN(IF('Cost Margin'!$I34="",'Cost Margin'!$B$9,'Cost Margin'!$I34),O$6)))))</f>
        <v>0</v>
      </c>
      <c r="P26" s="34">
        <f>IF(OR(P$5="",'Cost Margin'!$A34="",IF('Cost Margin'!$H34="",'Cost Margin'!$B$8,'Cost Margin'!$H34)="",IF('Cost Margin'!$I34="",'Cost Margin'!$B$9,'Cost Margin'!$I34)=""),0,IF(MIN(IF('Cost Margin'!$I34="",'Cost Margin'!$B$9,'Cost Margin'!$I34),P$6)&lt;MAX(IF('Cost Margin'!$H34="",'Cost Margin'!$B$8,'Cost Margin'!$H34),P$5),0,IFERROR(NETWORKDAYS(MAX(IF('Cost Margin'!$H34="",'Cost Margin'!$B$8,'Cost Margin'!$H34),P$5),MIN(IF('Cost Margin'!$I34="",'Cost Margin'!$B$9,'Cost Margin'!$I34),P$6),INDEX(Settings!$J$7:$M$60,0,MATCH('Cost Margin'!$C34,Settings!$J$6:$M$6,0))),NETWORKDAYS(MAX(IF('Cost Margin'!$H34="",'Cost Margin'!$B$8,'Cost Margin'!$H34),P$5),MIN(IF('Cost Margin'!$I34="",'Cost Margin'!$B$9,'Cost Margin'!$I34),P$6)))))</f>
        <v>0</v>
      </c>
      <c r="Q26" s="34">
        <f>IF(OR(Q$5="",'Cost Margin'!$A34="",IF('Cost Margin'!$H34="",'Cost Margin'!$B$8,'Cost Margin'!$H34)="",IF('Cost Margin'!$I34="",'Cost Margin'!$B$9,'Cost Margin'!$I34)=""),0,IF(MIN(IF('Cost Margin'!$I34="",'Cost Margin'!$B$9,'Cost Margin'!$I34),Q$6)&lt;MAX(IF('Cost Margin'!$H34="",'Cost Margin'!$B$8,'Cost Margin'!$H34),Q$5),0,IFERROR(NETWORKDAYS(MAX(IF('Cost Margin'!$H34="",'Cost Margin'!$B$8,'Cost Margin'!$H34),Q$5),MIN(IF('Cost Margin'!$I34="",'Cost Margin'!$B$9,'Cost Margin'!$I34),Q$6),INDEX(Settings!$J$7:$M$60,0,MATCH('Cost Margin'!$C34,Settings!$J$6:$M$6,0))),NETWORKDAYS(MAX(IF('Cost Margin'!$H34="",'Cost Margin'!$B$8,'Cost Margin'!$H34),Q$5),MIN(IF('Cost Margin'!$I34="",'Cost Margin'!$B$9,'Cost Margin'!$I34),Q$6)))))</f>
        <v>0</v>
      </c>
      <c r="R26" s="34">
        <f>IF(OR(R$5="",'Cost Margin'!$A34="",IF('Cost Margin'!$H34="",'Cost Margin'!$B$8,'Cost Margin'!$H34)="",IF('Cost Margin'!$I34="",'Cost Margin'!$B$9,'Cost Margin'!$I34)=""),0,IF(MIN(IF('Cost Margin'!$I34="",'Cost Margin'!$B$9,'Cost Margin'!$I34),R$6)&lt;MAX(IF('Cost Margin'!$H34="",'Cost Margin'!$B$8,'Cost Margin'!$H34),R$5),0,IFERROR(NETWORKDAYS(MAX(IF('Cost Margin'!$H34="",'Cost Margin'!$B$8,'Cost Margin'!$H34),R$5),MIN(IF('Cost Margin'!$I34="",'Cost Margin'!$B$9,'Cost Margin'!$I34),R$6),INDEX(Settings!$J$7:$M$60,0,MATCH('Cost Margin'!$C34,Settings!$J$6:$M$6,0))),NETWORKDAYS(MAX(IF('Cost Margin'!$H34="",'Cost Margin'!$B$8,'Cost Margin'!$H34),R$5),MIN(IF('Cost Margin'!$I34="",'Cost Margin'!$B$9,'Cost Margin'!$I34),R$6)))))</f>
        <v>0</v>
      </c>
      <c r="S26" s="34">
        <f>IF(OR(S$5="",'Cost Margin'!$A34="",IF('Cost Margin'!$H34="",'Cost Margin'!$B$8,'Cost Margin'!$H34)="",IF('Cost Margin'!$I34="",'Cost Margin'!$B$9,'Cost Margin'!$I34)=""),0,IF(MIN(IF('Cost Margin'!$I34="",'Cost Margin'!$B$9,'Cost Margin'!$I34),S$6)&lt;MAX(IF('Cost Margin'!$H34="",'Cost Margin'!$B$8,'Cost Margin'!$H34),S$5),0,IFERROR(NETWORKDAYS(MAX(IF('Cost Margin'!$H34="",'Cost Margin'!$B$8,'Cost Margin'!$H34),S$5),MIN(IF('Cost Margin'!$I34="",'Cost Margin'!$B$9,'Cost Margin'!$I34),S$6),INDEX(Settings!$J$7:$M$60,0,MATCH('Cost Margin'!$C34,Settings!$J$6:$M$6,0))),NETWORKDAYS(MAX(IF('Cost Margin'!$H34="",'Cost Margin'!$B$8,'Cost Margin'!$H34),S$5),MIN(IF('Cost Margin'!$I34="",'Cost Margin'!$B$9,'Cost Margin'!$I34),S$6)))))</f>
        <v>0</v>
      </c>
      <c r="T26" s="34">
        <f>IF(OR(T$5="",'Cost Margin'!$A34="",IF('Cost Margin'!$H34="",'Cost Margin'!$B$8,'Cost Margin'!$H34)="",IF('Cost Margin'!$I34="",'Cost Margin'!$B$9,'Cost Margin'!$I34)=""),0,IF(MIN(IF('Cost Margin'!$I34="",'Cost Margin'!$B$9,'Cost Margin'!$I34),T$6)&lt;MAX(IF('Cost Margin'!$H34="",'Cost Margin'!$B$8,'Cost Margin'!$H34),T$5),0,IFERROR(NETWORKDAYS(MAX(IF('Cost Margin'!$H34="",'Cost Margin'!$B$8,'Cost Margin'!$H34),T$5),MIN(IF('Cost Margin'!$I34="",'Cost Margin'!$B$9,'Cost Margin'!$I34),T$6),INDEX(Settings!$J$7:$M$60,0,MATCH('Cost Margin'!$C34,Settings!$J$6:$M$6,0))),NETWORKDAYS(MAX(IF('Cost Margin'!$H34="",'Cost Margin'!$B$8,'Cost Margin'!$H34),T$5),MIN(IF('Cost Margin'!$I34="",'Cost Margin'!$B$9,'Cost Margin'!$I34),T$6)))))</f>
        <v>0</v>
      </c>
      <c r="U26" s="34">
        <f>IF(OR(U$5="",'Cost Margin'!$A34="",IF('Cost Margin'!$H34="",'Cost Margin'!$B$8,'Cost Margin'!$H34)="",IF('Cost Margin'!$I34="",'Cost Margin'!$B$9,'Cost Margin'!$I34)=""),0,IF(MIN(IF('Cost Margin'!$I34="",'Cost Margin'!$B$9,'Cost Margin'!$I34),U$6)&lt;MAX(IF('Cost Margin'!$H34="",'Cost Margin'!$B$8,'Cost Margin'!$H34),U$5),0,IFERROR(NETWORKDAYS(MAX(IF('Cost Margin'!$H34="",'Cost Margin'!$B$8,'Cost Margin'!$H34),U$5),MIN(IF('Cost Margin'!$I34="",'Cost Margin'!$B$9,'Cost Margin'!$I34),U$6),INDEX(Settings!$J$7:$M$60,0,MATCH('Cost Margin'!$C34,Settings!$J$6:$M$6,0))),NETWORKDAYS(MAX(IF('Cost Margin'!$H34="",'Cost Margin'!$B$8,'Cost Margin'!$H34),U$5),MIN(IF('Cost Margin'!$I34="",'Cost Margin'!$B$9,'Cost Margin'!$I34),U$6)))))</f>
        <v>0</v>
      </c>
      <c r="V26" s="34">
        <f>IF(OR(V$5="",'Cost Margin'!$A34="",IF('Cost Margin'!$H34="",'Cost Margin'!$B$8,'Cost Margin'!$H34)="",IF('Cost Margin'!$I34="",'Cost Margin'!$B$9,'Cost Margin'!$I34)=""),0,IF(MIN(IF('Cost Margin'!$I34="",'Cost Margin'!$B$9,'Cost Margin'!$I34),V$6)&lt;MAX(IF('Cost Margin'!$H34="",'Cost Margin'!$B$8,'Cost Margin'!$H34),V$5),0,IFERROR(NETWORKDAYS(MAX(IF('Cost Margin'!$H34="",'Cost Margin'!$B$8,'Cost Margin'!$H34),V$5),MIN(IF('Cost Margin'!$I34="",'Cost Margin'!$B$9,'Cost Margin'!$I34),V$6),INDEX(Settings!$J$7:$M$60,0,MATCH('Cost Margin'!$C34,Settings!$J$6:$M$6,0))),NETWORKDAYS(MAX(IF('Cost Margin'!$H34="",'Cost Margin'!$B$8,'Cost Margin'!$H34),V$5),MIN(IF('Cost Margin'!$I34="",'Cost Margin'!$B$9,'Cost Margin'!$I34),V$6)))))</f>
        <v>0</v>
      </c>
      <c r="W26" s="34">
        <f>IF(OR(W$5="",'Cost Margin'!$A34="",IF('Cost Margin'!$H34="",'Cost Margin'!$B$8,'Cost Margin'!$H34)="",IF('Cost Margin'!$I34="",'Cost Margin'!$B$9,'Cost Margin'!$I34)=""),0,IF(MIN(IF('Cost Margin'!$I34="",'Cost Margin'!$B$9,'Cost Margin'!$I34),W$6)&lt;MAX(IF('Cost Margin'!$H34="",'Cost Margin'!$B$8,'Cost Margin'!$H34),W$5),0,IFERROR(NETWORKDAYS(MAX(IF('Cost Margin'!$H34="",'Cost Margin'!$B$8,'Cost Margin'!$H34),W$5),MIN(IF('Cost Margin'!$I34="",'Cost Margin'!$B$9,'Cost Margin'!$I34),W$6),INDEX(Settings!$J$7:$M$60,0,MATCH('Cost Margin'!$C34,Settings!$J$6:$M$6,0))),NETWORKDAYS(MAX(IF('Cost Margin'!$H34="",'Cost Margin'!$B$8,'Cost Margin'!$H34),W$5),MIN(IF('Cost Margin'!$I34="",'Cost Margin'!$B$9,'Cost Margin'!$I34),W$6)))))</f>
        <v>0</v>
      </c>
      <c r="X26" s="34">
        <f>IF(OR(X$5="",'Cost Margin'!$A34="",IF('Cost Margin'!$H34="",'Cost Margin'!$B$8,'Cost Margin'!$H34)="",IF('Cost Margin'!$I34="",'Cost Margin'!$B$9,'Cost Margin'!$I34)=""),0,IF(MIN(IF('Cost Margin'!$I34="",'Cost Margin'!$B$9,'Cost Margin'!$I34),X$6)&lt;MAX(IF('Cost Margin'!$H34="",'Cost Margin'!$B$8,'Cost Margin'!$H34),X$5),0,IFERROR(NETWORKDAYS(MAX(IF('Cost Margin'!$H34="",'Cost Margin'!$B$8,'Cost Margin'!$H34),X$5),MIN(IF('Cost Margin'!$I34="",'Cost Margin'!$B$9,'Cost Margin'!$I34),X$6),INDEX(Settings!$J$7:$M$60,0,MATCH('Cost Margin'!$C34,Settings!$J$6:$M$6,0))),NETWORKDAYS(MAX(IF('Cost Margin'!$H34="",'Cost Margin'!$B$8,'Cost Margin'!$H34),X$5),MIN(IF('Cost Margin'!$I34="",'Cost Margin'!$B$9,'Cost Margin'!$I34),X$6)))))</f>
        <v>0</v>
      </c>
      <c r="Y26" s="34">
        <f>IF(OR(Y$5="",'Cost Margin'!$A34="",IF('Cost Margin'!$H34="",'Cost Margin'!$B$8,'Cost Margin'!$H34)="",IF('Cost Margin'!$I34="",'Cost Margin'!$B$9,'Cost Margin'!$I34)=""),0,IF(MIN(IF('Cost Margin'!$I34="",'Cost Margin'!$B$9,'Cost Margin'!$I34),Y$6)&lt;MAX(IF('Cost Margin'!$H34="",'Cost Margin'!$B$8,'Cost Margin'!$H34),Y$5),0,IFERROR(NETWORKDAYS(MAX(IF('Cost Margin'!$H34="",'Cost Margin'!$B$8,'Cost Margin'!$H34),Y$5),MIN(IF('Cost Margin'!$I34="",'Cost Margin'!$B$9,'Cost Margin'!$I34),Y$6),INDEX(Settings!$J$7:$M$60,0,MATCH('Cost Margin'!$C34,Settings!$J$6:$M$6,0))),NETWORKDAYS(MAX(IF('Cost Margin'!$H34="",'Cost Margin'!$B$8,'Cost Margin'!$H34),Y$5),MIN(IF('Cost Margin'!$I34="",'Cost Margin'!$B$9,'Cost Margin'!$I34),Y$6)))))</f>
        <v>0</v>
      </c>
      <c r="Z26" s="34">
        <f>IF(OR(Z$5="",'Cost Margin'!$A34="",IF('Cost Margin'!$H34="",'Cost Margin'!$B$8,'Cost Margin'!$H34)="",IF('Cost Margin'!$I34="",'Cost Margin'!$B$9,'Cost Margin'!$I34)=""),0,IF(MIN(IF('Cost Margin'!$I34="",'Cost Margin'!$B$9,'Cost Margin'!$I34),Z$6)&lt;MAX(IF('Cost Margin'!$H34="",'Cost Margin'!$B$8,'Cost Margin'!$H34),Z$5),0,IFERROR(NETWORKDAYS(MAX(IF('Cost Margin'!$H34="",'Cost Margin'!$B$8,'Cost Margin'!$H34),Z$5),MIN(IF('Cost Margin'!$I34="",'Cost Margin'!$B$9,'Cost Margin'!$I34),Z$6),INDEX(Settings!$J$7:$M$60,0,MATCH('Cost Margin'!$C34,Settings!$J$6:$M$6,0))),NETWORKDAYS(MAX(IF('Cost Margin'!$H34="",'Cost Margin'!$B$8,'Cost Margin'!$H34),Z$5),MIN(IF('Cost Margin'!$I34="",'Cost Margin'!$B$9,'Cost Margin'!$I34),Z$6)))))</f>
        <v>0</v>
      </c>
    </row>
    <row r="27" spans="1:26" x14ac:dyDescent="0.2">
      <c r="A27">
        <v>19</v>
      </c>
      <c r="B27" s="33" t="str">
        <f>IF('Cost Margin'!A35="","",'Cost Margin'!A35)</f>
        <v/>
      </c>
      <c r="C27" s="34">
        <f>IF(OR(C$5="",'Cost Margin'!$A35="",IF('Cost Margin'!$H35="",'Cost Margin'!$B$8,'Cost Margin'!$H35)="",IF('Cost Margin'!$I35="",'Cost Margin'!$B$9,'Cost Margin'!$I35)=""),0,IF(MIN(IF('Cost Margin'!$I35="",'Cost Margin'!$B$9,'Cost Margin'!$I35),C$6)&lt;MAX(IF('Cost Margin'!$H35="",'Cost Margin'!$B$8,'Cost Margin'!$H35),C$5),0,IFERROR(NETWORKDAYS(MAX(IF('Cost Margin'!$H35="",'Cost Margin'!$B$8,'Cost Margin'!$H35),C$5),MIN(IF('Cost Margin'!$I35="",'Cost Margin'!$B$9,'Cost Margin'!$I35),C$6),INDEX(Settings!$J$7:$M$60,0,MATCH('Cost Margin'!$C35,Settings!$J$6:$M$6,0))),NETWORKDAYS(MAX(IF('Cost Margin'!$H35="",'Cost Margin'!$B$8,'Cost Margin'!$H35),C$5),MIN(IF('Cost Margin'!$I35="",'Cost Margin'!$B$9,'Cost Margin'!$I35),C$6)))))</f>
        <v>0</v>
      </c>
      <c r="D27" s="34">
        <f>IF(OR(D$5="",'Cost Margin'!$A35="",IF('Cost Margin'!$H35="",'Cost Margin'!$B$8,'Cost Margin'!$H35)="",IF('Cost Margin'!$I35="",'Cost Margin'!$B$9,'Cost Margin'!$I35)=""),0,IF(MIN(IF('Cost Margin'!$I35="",'Cost Margin'!$B$9,'Cost Margin'!$I35),D$6)&lt;MAX(IF('Cost Margin'!$H35="",'Cost Margin'!$B$8,'Cost Margin'!$H35),D$5),0,IFERROR(NETWORKDAYS(MAX(IF('Cost Margin'!$H35="",'Cost Margin'!$B$8,'Cost Margin'!$H35),D$5),MIN(IF('Cost Margin'!$I35="",'Cost Margin'!$B$9,'Cost Margin'!$I35),D$6),INDEX(Settings!$J$7:$M$60,0,MATCH('Cost Margin'!$C35,Settings!$J$6:$M$6,0))),NETWORKDAYS(MAX(IF('Cost Margin'!$H35="",'Cost Margin'!$B$8,'Cost Margin'!$H35),D$5),MIN(IF('Cost Margin'!$I35="",'Cost Margin'!$B$9,'Cost Margin'!$I35),D$6)))))</f>
        <v>0</v>
      </c>
      <c r="E27" s="34">
        <f>IF(OR(E$5="",'Cost Margin'!$A35="",IF('Cost Margin'!$H35="",'Cost Margin'!$B$8,'Cost Margin'!$H35)="",IF('Cost Margin'!$I35="",'Cost Margin'!$B$9,'Cost Margin'!$I35)=""),0,IF(MIN(IF('Cost Margin'!$I35="",'Cost Margin'!$B$9,'Cost Margin'!$I35),E$6)&lt;MAX(IF('Cost Margin'!$H35="",'Cost Margin'!$B$8,'Cost Margin'!$H35),E$5),0,IFERROR(NETWORKDAYS(MAX(IF('Cost Margin'!$H35="",'Cost Margin'!$B$8,'Cost Margin'!$H35),E$5),MIN(IF('Cost Margin'!$I35="",'Cost Margin'!$B$9,'Cost Margin'!$I35),E$6),INDEX(Settings!$J$7:$M$60,0,MATCH('Cost Margin'!$C35,Settings!$J$6:$M$6,0))),NETWORKDAYS(MAX(IF('Cost Margin'!$H35="",'Cost Margin'!$B$8,'Cost Margin'!$H35),E$5),MIN(IF('Cost Margin'!$I35="",'Cost Margin'!$B$9,'Cost Margin'!$I35),E$6)))))</f>
        <v>0</v>
      </c>
      <c r="F27" s="34">
        <f>IF(OR(F$5="",'Cost Margin'!$A35="",IF('Cost Margin'!$H35="",'Cost Margin'!$B$8,'Cost Margin'!$H35)="",IF('Cost Margin'!$I35="",'Cost Margin'!$B$9,'Cost Margin'!$I35)=""),0,IF(MIN(IF('Cost Margin'!$I35="",'Cost Margin'!$B$9,'Cost Margin'!$I35),F$6)&lt;MAX(IF('Cost Margin'!$H35="",'Cost Margin'!$B$8,'Cost Margin'!$H35),F$5),0,IFERROR(NETWORKDAYS(MAX(IF('Cost Margin'!$H35="",'Cost Margin'!$B$8,'Cost Margin'!$H35),F$5),MIN(IF('Cost Margin'!$I35="",'Cost Margin'!$B$9,'Cost Margin'!$I35),F$6),INDEX(Settings!$J$7:$M$60,0,MATCH('Cost Margin'!$C35,Settings!$J$6:$M$6,0))),NETWORKDAYS(MAX(IF('Cost Margin'!$H35="",'Cost Margin'!$B$8,'Cost Margin'!$H35),F$5),MIN(IF('Cost Margin'!$I35="",'Cost Margin'!$B$9,'Cost Margin'!$I35),F$6)))))</f>
        <v>0</v>
      </c>
      <c r="G27" s="34">
        <f>IF(OR(G$5="",'Cost Margin'!$A35="",IF('Cost Margin'!$H35="",'Cost Margin'!$B$8,'Cost Margin'!$H35)="",IF('Cost Margin'!$I35="",'Cost Margin'!$B$9,'Cost Margin'!$I35)=""),0,IF(MIN(IF('Cost Margin'!$I35="",'Cost Margin'!$B$9,'Cost Margin'!$I35),G$6)&lt;MAX(IF('Cost Margin'!$H35="",'Cost Margin'!$B$8,'Cost Margin'!$H35),G$5),0,IFERROR(NETWORKDAYS(MAX(IF('Cost Margin'!$H35="",'Cost Margin'!$B$8,'Cost Margin'!$H35),G$5),MIN(IF('Cost Margin'!$I35="",'Cost Margin'!$B$9,'Cost Margin'!$I35),G$6),INDEX(Settings!$J$7:$M$60,0,MATCH('Cost Margin'!$C35,Settings!$J$6:$M$6,0))),NETWORKDAYS(MAX(IF('Cost Margin'!$H35="",'Cost Margin'!$B$8,'Cost Margin'!$H35),G$5),MIN(IF('Cost Margin'!$I35="",'Cost Margin'!$B$9,'Cost Margin'!$I35),G$6)))))</f>
        <v>0</v>
      </c>
      <c r="H27" s="34">
        <f>IF(OR(H$5="",'Cost Margin'!$A35="",IF('Cost Margin'!$H35="",'Cost Margin'!$B$8,'Cost Margin'!$H35)="",IF('Cost Margin'!$I35="",'Cost Margin'!$B$9,'Cost Margin'!$I35)=""),0,IF(MIN(IF('Cost Margin'!$I35="",'Cost Margin'!$B$9,'Cost Margin'!$I35),H$6)&lt;MAX(IF('Cost Margin'!$H35="",'Cost Margin'!$B$8,'Cost Margin'!$H35),H$5),0,IFERROR(NETWORKDAYS(MAX(IF('Cost Margin'!$H35="",'Cost Margin'!$B$8,'Cost Margin'!$H35),H$5),MIN(IF('Cost Margin'!$I35="",'Cost Margin'!$B$9,'Cost Margin'!$I35),H$6),INDEX(Settings!$J$7:$M$60,0,MATCH('Cost Margin'!$C35,Settings!$J$6:$M$6,0))),NETWORKDAYS(MAX(IF('Cost Margin'!$H35="",'Cost Margin'!$B$8,'Cost Margin'!$H35),H$5),MIN(IF('Cost Margin'!$I35="",'Cost Margin'!$B$9,'Cost Margin'!$I35),H$6)))))</f>
        <v>0</v>
      </c>
      <c r="I27" s="34">
        <f>IF(OR(I$5="",'Cost Margin'!$A35="",IF('Cost Margin'!$H35="",'Cost Margin'!$B$8,'Cost Margin'!$H35)="",IF('Cost Margin'!$I35="",'Cost Margin'!$B$9,'Cost Margin'!$I35)=""),0,IF(MIN(IF('Cost Margin'!$I35="",'Cost Margin'!$B$9,'Cost Margin'!$I35),I$6)&lt;MAX(IF('Cost Margin'!$H35="",'Cost Margin'!$B$8,'Cost Margin'!$H35),I$5),0,IFERROR(NETWORKDAYS(MAX(IF('Cost Margin'!$H35="",'Cost Margin'!$B$8,'Cost Margin'!$H35),I$5),MIN(IF('Cost Margin'!$I35="",'Cost Margin'!$B$9,'Cost Margin'!$I35),I$6),INDEX(Settings!$J$7:$M$60,0,MATCH('Cost Margin'!$C35,Settings!$J$6:$M$6,0))),NETWORKDAYS(MAX(IF('Cost Margin'!$H35="",'Cost Margin'!$B$8,'Cost Margin'!$H35),I$5),MIN(IF('Cost Margin'!$I35="",'Cost Margin'!$B$9,'Cost Margin'!$I35),I$6)))))</f>
        <v>0</v>
      </c>
      <c r="J27" s="34">
        <f>IF(OR(J$5="",'Cost Margin'!$A35="",IF('Cost Margin'!$H35="",'Cost Margin'!$B$8,'Cost Margin'!$H35)="",IF('Cost Margin'!$I35="",'Cost Margin'!$B$9,'Cost Margin'!$I35)=""),0,IF(MIN(IF('Cost Margin'!$I35="",'Cost Margin'!$B$9,'Cost Margin'!$I35),J$6)&lt;MAX(IF('Cost Margin'!$H35="",'Cost Margin'!$B$8,'Cost Margin'!$H35),J$5),0,IFERROR(NETWORKDAYS(MAX(IF('Cost Margin'!$H35="",'Cost Margin'!$B$8,'Cost Margin'!$H35),J$5),MIN(IF('Cost Margin'!$I35="",'Cost Margin'!$B$9,'Cost Margin'!$I35),J$6),INDEX(Settings!$J$7:$M$60,0,MATCH('Cost Margin'!$C35,Settings!$J$6:$M$6,0))),NETWORKDAYS(MAX(IF('Cost Margin'!$H35="",'Cost Margin'!$B$8,'Cost Margin'!$H35),J$5),MIN(IF('Cost Margin'!$I35="",'Cost Margin'!$B$9,'Cost Margin'!$I35),J$6)))))</f>
        <v>0</v>
      </c>
      <c r="K27" s="34">
        <f>IF(OR(K$5="",'Cost Margin'!$A35="",IF('Cost Margin'!$H35="",'Cost Margin'!$B$8,'Cost Margin'!$H35)="",IF('Cost Margin'!$I35="",'Cost Margin'!$B$9,'Cost Margin'!$I35)=""),0,IF(MIN(IF('Cost Margin'!$I35="",'Cost Margin'!$B$9,'Cost Margin'!$I35),K$6)&lt;MAX(IF('Cost Margin'!$H35="",'Cost Margin'!$B$8,'Cost Margin'!$H35),K$5),0,IFERROR(NETWORKDAYS(MAX(IF('Cost Margin'!$H35="",'Cost Margin'!$B$8,'Cost Margin'!$H35),K$5),MIN(IF('Cost Margin'!$I35="",'Cost Margin'!$B$9,'Cost Margin'!$I35),K$6),INDEX(Settings!$J$7:$M$60,0,MATCH('Cost Margin'!$C35,Settings!$J$6:$M$6,0))),NETWORKDAYS(MAX(IF('Cost Margin'!$H35="",'Cost Margin'!$B$8,'Cost Margin'!$H35),K$5),MIN(IF('Cost Margin'!$I35="",'Cost Margin'!$B$9,'Cost Margin'!$I35),K$6)))))</f>
        <v>0</v>
      </c>
      <c r="L27" s="34">
        <f>IF(OR(L$5="",'Cost Margin'!$A35="",IF('Cost Margin'!$H35="",'Cost Margin'!$B$8,'Cost Margin'!$H35)="",IF('Cost Margin'!$I35="",'Cost Margin'!$B$9,'Cost Margin'!$I35)=""),0,IF(MIN(IF('Cost Margin'!$I35="",'Cost Margin'!$B$9,'Cost Margin'!$I35),L$6)&lt;MAX(IF('Cost Margin'!$H35="",'Cost Margin'!$B$8,'Cost Margin'!$H35),L$5),0,IFERROR(NETWORKDAYS(MAX(IF('Cost Margin'!$H35="",'Cost Margin'!$B$8,'Cost Margin'!$H35),L$5),MIN(IF('Cost Margin'!$I35="",'Cost Margin'!$B$9,'Cost Margin'!$I35),L$6),INDEX(Settings!$J$7:$M$60,0,MATCH('Cost Margin'!$C35,Settings!$J$6:$M$6,0))),NETWORKDAYS(MAX(IF('Cost Margin'!$H35="",'Cost Margin'!$B$8,'Cost Margin'!$H35),L$5),MIN(IF('Cost Margin'!$I35="",'Cost Margin'!$B$9,'Cost Margin'!$I35),L$6)))))</f>
        <v>0</v>
      </c>
      <c r="M27" s="34">
        <f>IF(OR(M$5="",'Cost Margin'!$A35="",IF('Cost Margin'!$H35="",'Cost Margin'!$B$8,'Cost Margin'!$H35)="",IF('Cost Margin'!$I35="",'Cost Margin'!$B$9,'Cost Margin'!$I35)=""),0,IF(MIN(IF('Cost Margin'!$I35="",'Cost Margin'!$B$9,'Cost Margin'!$I35),M$6)&lt;MAX(IF('Cost Margin'!$H35="",'Cost Margin'!$B$8,'Cost Margin'!$H35),M$5),0,IFERROR(NETWORKDAYS(MAX(IF('Cost Margin'!$H35="",'Cost Margin'!$B$8,'Cost Margin'!$H35),M$5),MIN(IF('Cost Margin'!$I35="",'Cost Margin'!$B$9,'Cost Margin'!$I35),M$6),INDEX(Settings!$J$7:$M$60,0,MATCH('Cost Margin'!$C35,Settings!$J$6:$M$6,0))),NETWORKDAYS(MAX(IF('Cost Margin'!$H35="",'Cost Margin'!$B$8,'Cost Margin'!$H35),M$5),MIN(IF('Cost Margin'!$I35="",'Cost Margin'!$B$9,'Cost Margin'!$I35),M$6)))))</f>
        <v>0</v>
      </c>
      <c r="N27" s="34">
        <f>IF(OR(N$5="",'Cost Margin'!$A35="",IF('Cost Margin'!$H35="",'Cost Margin'!$B$8,'Cost Margin'!$H35)="",IF('Cost Margin'!$I35="",'Cost Margin'!$B$9,'Cost Margin'!$I35)=""),0,IF(MIN(IF('Cost Margin'!$I35="",'Cost Margin'!$B$9,'Cost Margin'!$I35),N$6)&lt;MAX(IF('Cost Margin'!$H35="",'Cost Margin'!$B$8,'Cost Margin'!$H35),N$5),0,IFERROR(NETWORKDAYS(MAX(IF('Cost Margin'!$H35="",'Cost Margin'!$B$8,'Cost Margin'!$H35),N$5),MIN(IF('Cost Margin'!$I35="",'Cost Margin'!$B$9,'Cost Margin'!$I35),N$6),INDEX(Settings!$J$7:$M$60,0,MATCH('Cost Margin'!$C35,Settings!$J$6:$M$6,0))),NETWORKDAYS(MAX(IF('Cost Margin'!$H35="",'Cost Margin'!$B$8,'Cost Margin'!$H35),N$5),MIN(IF('Cost Margin'!$I35="",'Cost Margin'!$B$9,'Cost Margin'!$I35),N$6)))))</f>
        <v>0</v>
      </c>
      <c r="O27" s="34">
        <f>IF(OR(O$5="",'Cost Margin'!$A35="",IF('Cost Margin'!$H35="",'Cost Margin'!$B$8,'Cost Margin'!$H35)="",IF('Cost Margin'!$I35="",'Cost Margin'!$B$9,'Cost Margin'!$I35)=""),0,IF(MIN(IF('Cost Margin'!$I35="",'Cost Margin'!$B$9,'Cost Margin'!$I35),O$6)&lt;MAX(IF('Cost Margin'!$H35="",'Cost Margin'!$B$8,'Cost Margin'!$H35),O$5),0,IFERROR(NETWORKDAYS(MAX(IF('Cost Margin'!$H35="",'Cost Margin'!$B$8,'Cost Margin'!$H35),O$5),MIN(IF('Cost Margin'!$I35="",'Cost Margin'!$B$9,'Cost Margin'!$I35),O$6),INDEX(Settings!$J$7:$M$60,0,MATCH('Cost Margin'!$C35,Settings!$J$6:$M$6,0))),NETWORKDAYS(MAX(IF('Cost Margin'!$H35="",'Cost Margin'!$B$8,'Cost Margin'!$H35),O$5),MIN(IF('Cost Margin'!$I35="",'Cost Margin'!$B$9,'Cost Margin'!$I35),O$6)))))</f>
        <v>0</v>
      </c>
      <c r="P27" s="34">
        <f>IF(OR(P$5="",'Cost Margin'!$A35="",IF('Cost Margin'!$H35="",'Cost Margin'!$B$8,'Cost Margin'!$H35)="",IF('Cost Margin'!$I35="",'Cost Margin'!$B$9,'Cost Margin'!$I35)=""),0,IF(MIN(IF('Cost Margin'!$I35="",'Cost Margin'!$B$9,'Cost Margin'!$I35),P$6)&lt;MAX(IF('Cost Margin'!$H35="",'Cost Margin'!$B$8,'Cost Margin'!$H35),P$5),0,IFERROR(NETWORKDAYS(MAX(IF('Cost Margin'!$H35="",'Cost Margin'!$B$8,'Cost Margin'!$H35),P$5),MIN(IF('Cost Margin'!$I35="",'Cost Margin'!$B$9,'Cost Margin'!$I35),P$6),INDEX(Settings!$J$7:$M$60,0,MATCH('Cost Margin'!$C35,Settings!$J$6:$M$6,0))),NETWORKDAYS(MAX(IF('Cost Margin'!$H35="",'Cost Margin'!$B$8,'Cost Margin'!$H35),P$5),MIN(IF('Cost Margin'!$I35="",'Cost Margin'!$B$9,'Cost Margin'!$I35),P$6)))))</f>
        <v>0</v>
      </c>
      <c r="Q27" s="34">
        <f>IF(OR(Q$5="",'Cost Margin'!$A35="",IF('Cost Margin'!$H35="",'Cost Margin'!$B$8,'Cost Margin'!$H35)="",IF('Cost Margin'!$I35="",'Cost Margin'!$B$9,'Cost Margin'!$I35)=""),0,IF(MIN(IF('Cost Margin'!$I35="",'Cost Margin'!$B$9,'Cost Margin'!$I35),Q$6)&lt;MAX(IF('Cost Margin'!$H35="",'Cost Margin'!$B$8,'Cost Margin'!$H35),Q$5),0,IFERROR(NETWORKDAYS(MAX(IF('Cost Margin'!$H35="",'Cost Margin'!$B$8,'Cost Margin'!$H35),Q$5),MIN(IF('Cost Margin'!$I35="",'Cost Margin'!$B$9,'Cost Margin'!$I35),Q$6),INDEX(Settings!$J$7:$M$60,0,MATCH('Cost Margin'!$C35,Settings!$J$6:$M$6,0))),NETWORKDAYS(MAX(IF('Cost Margin'!$H35="",'Cost Margin'!$B$8,'Cost Margin'!$H35),Q$5),MIN(IF('Cost Margin'!$I35="",'Cost Margin'!$B$9,'Cost Margin'!$I35),Q$6)))))</f>
        <v>0</v>
      </c>
      <c r="R27" s="34">
        <f>IF(OR(R$5="",'Cost Margin'!$A35="",IF('Cost Margin'!$H35="",'Cost Margin'!$B$8,'Cost Margin'!$H35)="",IF('Cost Margin'!$I35="",'Cost Margin'!$B$9,'Cost Margin'!$I35)=""),0,IF(MIN(IF('Cost Margin'!$I35="",'Cost Margin'!$B$9,'Cost Margin'!$I35),R$6)&lt;MAX(IF('Cost Margin'!$H35="",'Cost Margin'!$B$8,'Cost Margin'!$H35),R$5),0,IFERROR(NETWORKDAYS(MAX(IF('Cost Margin'!$H35="",'Cost Margin'!$B$8,'Cost Margin'!$H35),R$5),MIN(IF('Cost Margin'!$I35="",'Cost Margin'!$B$9,'Cost Margin'!$I35),R$6),INDEX(Settings!$J$7:$M$60,0,MATCH('Cost Margin'!$C35,Settings!$J$6:$M$6,0))),NETWORKDAYS(MAX(IF('Cost Margin'!$H35="",'Cost Margin'!$B$8,'Cost Margin'!$H35),R$5),MIN(IF('Cost Margin'!$I35="",'Cost Margin'!$B$9,'Cost Margin'!$I35),R$6)))))</f>
        <v>0</v>
      </c>
      <c r="S27" s="34">
        <f>IF(OR(S$5="",'Cost Margin'!$A35="",IF('Cost Margin'!$H35="",'Cost Margin'!$B$8,'Cost Margin'!$H35)="",IF('Cost Margin'!$I35="",'Cost Margin'!$B$9,'Cost Margin'!$I35)=""),0,IF(MIN(IF('Cost Margin'!$I35="",'Cost Margin'!$B$9,'Cost Margin'!$I35),S$6)&lt;MAX(IF('Cost Margin'!$H35="",'Cost Margin'!$B$8,'Cost Margin'!$H35),S$5),0,IFERROR(NETWORKDAYS(MAX(IF('Cost Margin'!$H35="",'Cost Margin'!$B$8,'Cost Margin'!$H35),S$5),MIN(IF('Cost Margin'!$I35="",'Cost Margin'!$B$9,'Cost Margin'!$I35),S$6),INDEX(Settings!$J$7:$M$60,0,MATCH('Cost Margin'!$C35,Settings!$J$6:$M$6,0))),NETWORKDAYS(MAX(IF('Cost Margin'!$H35="",'Cost Margin'!$B$8,'Cost Margin'!$H35),S$5),MIN(IF('Cost Margin'!$I35="",'Cost Margin'!$B$9,'Cost Margin'!$I35),S$6)))))</f>
        <v>0</v>
      </c>
      <c r="T27" s="34">
        <f>IF(OR(T$5="",'Cost Margin'!$A35="",IF('Cost Margin'!$H35="",'Cost Margin'!$B$8,'Cost Margin'!$H35)="",IF('Cost Margin'!$I35="",'Cost Margin'!$B$9,'Cost Margin'!$I35)=""),0,IF(MIN(IF('Cost Margin'!$I35="",'Cost Margin'!$B$9,'Cost Margin'!$I35),T$6)&lt;MAX(IF('Cost Margin'!$H35="",'Cost Margin'!$B$8,'Cost Margin'!$H35),T$5),0,IFERROR(NETWORKDAYS(MAX(IF('Cost Margin'!$H35="",'Cost Margin'!$B$8,'Cost Margin'!$H35),T$5),MIN(IF('Cost Margin'!$I35="",'Cost Margin'!$B$9,'Cost Margin'!$I35),T$6),INDEX(Settings!$J$7:$M$60,0,MATCH('Cost Margin'!$C35,Settings!$J$6:$M$6,0))),NETWORKDAYS(MAX(IF('Cost Margin'!$H35="",'Cost Margin'!$B$8,'Cost Margin'!$H35),T$5),MIN(IF('Cost Margin'!$I35="",'Cost Margin'!$B$9,'Cost Margin'!$I35),T$6)))))</f>
        <v>0</v>
      </c>
      <c r="U27" s="34">
        <f>IF(OR(U$5="",'Cost Margin'!$A35="",IF('Cost Margin'!$H35="",'Cost Margin'!$B$8,'Cost Margin'!$H35)="",IF('Cost Margin'!$I35="",'Cost Margin'!$B$9,'Cost Margin'!$I35)=""),0,IF(MIN(IF('Cost Margin'!$I35="",'Cost Margin'!$B$9,'Cost Margin'!$I35),U$6)&lt;MAX(IF('Cost Margin'!$H35="",'Cost Margin'!$B$8,'Cost Margin'!$H35),U$5),0,IFERROR(NETWORKDAYS(MAX(IF('Cost Margin'!$H35="",'Cost Margin'!$B$8,'Cost Margin'!$H35),U$5),MIN(IF('Cost Margin'!$I35="",'Cost Margin'!$B$9,'Cost Margin'!$I35),U$6),INDEX(Settings!$J$7:$M$60,0,MATCH('Cost Margin'!$C35,Settings!$J$6:$M$6,0))),NETWORKDAYS(MAX(IF('Cost Margin'!$H35="",'Cost Margin'!$B$8,'Cost Margin'!$H35),U$5),MIN(IF('Cost Margin'!$I35="",'Cost Margin'!$B$9,'Cost Margin'!$I35),U$6)))))</f>
        <v>0</v>
      </c>
      <c r="V27" s="34">
        <f>IF(OR(V$5="",'Cost Margin'!$A35="",IF('Cost Margin'!$H35="",'Cost Margin'!$B$8,'Cost Margin'!$H35)="",IF('Cost Margin'!$I35="",'Cost Margin'!$B$9,'Cost Margin'!$I35)=""),0,IF(MIN(IF('Cost Margin'!$I35="",'Cost Margin'!$B$9,'Cost Margin'!$I35),V$6)&lt;MAX(IF('Cost Margin'!$H35="",'Cost Margin'!$B$8,'Cost Margin'!$H35),V$5),0,IFERROR(NETWORKDAYS(MAX(IF('Cost Margin'!$H35="",'Cost Margin'!$B$8,'Cost Margin'!$H35),V$5),MIN(IF('Cost Margin'!$I35="",'Cost Margin'!$B$9,'Cost Margin'!$I35),V$6),INDEX(Settings!$J$7:$M$60,0,MATCH('Cost Margin'!$C35,Settings!$J$6:$M$6,0))),NETWORKDAYS(MAX(IF('Cost Margin'!$H35="",'Cost Margin'!$B$8,'Cost Margin'!$H35),V$5),MIN(IF('Cost Margin'!$I35="",'Cost Margin'!$B$9,'Cost Margin'!$I35),V$6)))))</f>
        <v>0</v>
      </c>
      <c r="W27" s="34">
        <f>IF(OR(W$5="",'Cost Margin'!$A35="",IF('Cost Margin'!$H35="",'Cost Margin'!$B$8,'Cost Margin'!$H35)="",IF('Cost Margin'!$I35="",'Cost Margin'!$B$9,'Cost Margin'!$I35)=""),0,IF(MIN(IF('Cost Margin'!$I35="",'Cost Margin'!$B$9,'Cost Margin'!$I35),W$6)&lt;MAX(IF('Cost Margin'!$H35="",'Cost Margin'!$B$8,'Cost Margin'!$H35),W$5),0,IFERROR(NETWORKDAYS(MAX(IF('Cost Margin'!$H35="",'Cost Margin'!$B$8,'Cost Margin'!$H35),W$5),MIN(IF('Cost Margin'!$I35="",'Cost Margin'!$B$9,'Cost Margin'!$I35),W$6),INDEX(Settings!$J$7:$M$60,0,MATCH('Cost Margin'!$C35,Settings!$J$6:$M$6,0))),NETWORKDAYS(MAX(IF('Cost Margin'!$H35="",'Cost Margin'!$B$8,'Cost Margin'!$H35),W$5),MIN(IF('Cost Margin'!$I35="",'Cost Margin'!$B$9,'Cost Margin'!$I35),W$6)))))</f>
        <v>0</v>
      </c>
      <c r="X27" s="34">
        <f>IF(OR(X$5="",'Cost Margin'!$A35="",IF('Cost Margin'!$H35="",'Cost Margin'!$B$8,'Cost Margin'!$H35)="",IF('Cost Margin'!$I35="",'Cost Margin'!$B$9,'Cost Margin'!$I35)=""),0,IF(MIN(IF('Cost Margin'!$I35="",'Cost Margin'!$B$9,'Cost Margin'!$I35),X$6)&lt;MAX(IF('Cost Margin'!$H35="",'Cost Margin'!$B$8,'Cost Margin'!$H35),X$5),0,IFERROR(NETWORKDAYS(MAX(IF('Cost Margin'!$H35="",'Cost Margin'!$B$8,'Cost Margin'!$H35),X$5),MIN(IF('Cost Margin'!$I35="",'Cost Margin'!$B$9,'Cost Margin'!$I35),X$6),INDEX(Settings!$J$7:$M$60,0,MATCH('Cost Margin'!$C35,Settings!$J$6:$M$6,0))),NETWORKDAYS(MAX(IF('Cost Margin'!$H35="",'Cost Margin'!$B$8,'Cost Margin'!$H35),X$5),MIN(IF('Cost Margin'!$I35="",'Cost Margin'!$B$9,'Cost Margin'!$I35),X$6)))))</f>
        <v>0</v>
      </c>
      <c r="Y27" s="34">
        <f>IF(OR(Y$5="",'Cost Margin'!$A35="",IF('Cost Margin'!$H35="",'Cost Margin'!$B$8,'Cost Margin'!$H35)="",IF('Cost Margin'!$I35="",'Cost Margin'!$B$9,'Cost Margin'!$I35)=""),0,IF(MIN(IF('Cost Margin'!$I35="",'Cost Margin'!$B$9,'Cost Margin'!$I35),Y$6)&lt;MAX(IF('Cost Margin'!$H35="",'Cost Margin'!$B$8,'Cost Margin'!$H35),Y$5),0,IFERROR(NETWORKDAYS(MAX(IF('Cost Margin'!$H35="",'Cost Margin'!$B$8,'Cost Margin'!$H35),Y$5),MIN(IF('Cost Margin'!$I35="",'Cost Margin'!$B$9,'Cost Margin'!$I35),Y$6),INDEX(Settings!$J$7:$M$60,0,MATCH('Cost Margin'!$C35,Settings!$J$6:$M$6,0))),NETWORKDAYS(MAX(IF('Cost Margin'!$H35="",'Cost Margin'!$B$8,'Cost Margin'!$H35),Y$5),MIN(IF('Cost Margin'!$I35="",'Cost Margin'!$B$9,'Cost Margin'!$I35),Y$6)))))</f>
        <v>0</v>
      </c>
      <c r="Z27" s="34">
        <f>IF(OR(Z$5="",'Cost Margin'!$A35="",IF('Cost Margin'!$H35="",'Cost Margin'!$B$8,'Cost Margin'!$H35)="",IF('Cost Margin'!$I35="",'Cost Margin'!$B$9,'Cost Margin'!$I35)=""),0,IF(MIN(IF('Cost Margin'!$I35="",'Cost Margin'!$B$9,'Cost Margin'!$I35),Z$6)&lt;MAX(IF('Cost Margin'!$H35="",'Cost Margin'!$B$8,'Cost Margin'!$H35),Z$5),0,IFERROR(NETWORKDAYS(MAX(IF('Cost Margin'!$H35="",'Cost Margin'!$B$8,'Cost Margin'!$H35),Z$5),MIN(IF('Cost Margin'!$I35="",'Cost Margin'!$B$9,'Cost Margin'!$I35),Z$6),INDEX(Settings!$J$7:$M$60,0,MATCH('Cost Margin'!$C35,Settings!$J$6:$M$6,0))),NETWORKDAYS(MAX(IF('Cost Margin'!$H35="",'Cost Margin'!$B$8,'Cost Margin'!$H35),Z$5),MIN(IF('Cost Margin'!$I35="",'Cost Margin'!$B$9,'Cost Margin'!$I35),Z$6)))))</f>
        <v>0</v>
      </c>
    </row>
    <row r="28" spans="1:26" x14ac:dyDescent="0.2">
      <c r="A28">
        <v>20</v>
      </c>
      <c r="B28" s="33" t="str">
        <f>IF('Cost Margin'!A36="","",'Cost Margin'!A36)</f>
        <v/>
      </c>
      <c r="C28" s="34">
        <f>IF(OR(C$5="",'Cost Margin'!$A36="",IF('Cost Margin'!$H36="",'Cost Margin'!$B$8,'Cost Margin'!$H36)="",IF('Cost Margin'!$I36="",'Cost Margin'!$B$9,'Cost Margin'!$I36)=""),0,IF(MIN(IF('Cost Margin'!$I36="",'Cost Margin'!$B$9,'Cost Margin'!$I36),C$6)&lt;MAX(IF('Cost Margin'!$H36="",'Cost Margin'!$B$8,'Cost Margin'!$H36),C$5),0,IFERROR(NETWORKDAYS(MAX(IF('Cost Margin'!$H36="",'Cost Margin'!$B$8,'Cost Margin'!$H36),C$5),MIN(IF('Cost Margin'!$I36="",'Cost Margin'!$B$9,'Cost Margin'!$I36),C$6),INDEX(Settings!$J$7:$M$60,0,MATCH('Cost Margin'!$C36,Settings!$J$6:$M$6,0))),NETWORKDAYS(MAX(IF('Cost Margin'!$H36="",'Cost Margin'!$B$8,'Cost Margin'!$H36),C$5),MIN(IF('Cost Margin'!$I36="",'Cost Margin'!$B$9,'Cost Margin'!$I36),C$6)))))</f>
        <v>0</v>
      </c>
      <c r="D28" s="34">
        <f>IF(OR(D$5="",'Cost Margin'!$A36="",IF('Cost Margin'!$H36="",'Cost Margin'!$B$8,'Cost Margin'!$H36)="",IF('Cost Margin'!$I36="",'Cost Margin'!$B$9,'Cost Margin'!$I36)=""),0,IF(MIN(IF('Cost Margin'!$I36="",'Cost Margin'!$B$9,'Cost Margin'!$I36),D$6)&lt;MAX(IF('Cost Margin'!$H36="",'Cost Margin'!$B$8,'Cost Margin'!$H36),D$5),0,IFERROR(NETWORKDAYS(MAX(IF('Cost Margin'!$H36="",'Cost Margin'!$B$8,'Cost Margin'!$H36),D$5),MIN(IF('Cost Margin'!$I36="",'Cost Margin'!$B$9,'Cost Margin'!$I36),D$6),INDEX(Settings!$J$7:$M$60,0,MATCH('Cost Margin'!$C36,Settings!$J$6:$M$6,0))),NETWORKDAYS(MAX(IF('Cost Margin'!$H36="",'Cost Margin'!$B$8,'Cost Margin'!$H36),D$5),MIN(IF('Cost Margin'!$I36="",'Cost Margin'!$B$9,'Cost Margin'!$I36),D$6)))))</f>
        <v>0</v>
      </c>
      <c r="E28" s="34">
        <f>IF(OR(E$5="",'Cost Margin'!$A36="",IF('Cost Margin'!$H36="",'Cost Margin'!$B$8,'Cost Margin'!$H36)="",IF('Cost Margin'!$I36="",'Cost Margin'!$B$9,'Cost Margin'!$I36)=""),0,IF(MIN(IF('Cost Margin'!$I36="",'Cost Margin'!$B$9,'Cost Margin'!$I36),E$6)&lt;MAX(IF('Cost Margin'!$H36="",'Cost Margin'!$B$8,'Cost Margin'!$H36),E$5),0,IFERROR(NETWORKDAYS(MAX(IF('Cost Margin'!$H36="",'Cost Margin'!$B$8,'Cost Margin'!$H36),E$5),MIN(IF('Cost Margin'!$I36="",'Cost Margin'!$B$9,'Cost Margin'!$I36),E$6),INDEX(Settings!$J$7:$M$60,0,MATCH('Cost Margin'!$C36,Settings!$J$6:$M$6,0))),NETWORKDAYS(MAX(IF('Cost Margin'!$H36="",'Cost Margin'!$B$8,'Cost Margin'!$H36),E$5),MIN(IF('Cost Margin'!$I36="",'Cost Margin'!$B$9,'Cost Margin'!$I36),E$6)))))</f>
        <v>0</v>
      </c>
      <c r="F28" s="34">
        <f>IF(OR(F$5="",'Cost Margin'!$A36="",IF('Cost Margin'!$H36="",'Cost Margin'!$B$8,'Cost Margin'!$H36)="",IF('Cost Margin'!$I36="",'Cost Margin'!$B$9,'Cost Margin'!$I36)=""),0,IF(MIN(IF('Cost Margin'!$I36="",'Cost Margin'!$B$9,'Cost Margin'!$I36),F$6)&lt;MAX(IF('Cost Margin'!$H36="",'Cost Margin'!$B$8,'Cost Margin'!$H36),F$5),0,IFERROR(NETWORKDAYS(MAX(IF('Cost Margin'!$H36="",'Cost Margin'!$B$8,'Cost Margin'!$H36),F$5),MIN(IF('Cost Margin'!$I36="",'Cost Margin'!$B$9,'Cost Margin'!$I36),F$6),INDEX(Settings!$J$7:$M$60,0,MATCH('Cost Margin'!$C36,Settings!$J$6:$M$6,0))),NETWORKDAYS(MAX(IF('Cost Margin'!$H36="",'Cost Margin'!$B$8,'Cost Margin'!$H36),F$5),MIN(IF('Cost Margin'!$I36="",'Cost Margin'!$B$9,'Cost Margin'!$I36),F$6)))))</f>
        <v>0</v>
      </c>
      <c r="G28" s="34">
        <f>IF(OR(G$5="",'Cost Margin'!$A36="",IF('Cost Margin'!$H36="",'Cost Margin'!$B$8,'Cost Margin'!$H36)="",IF('Cost Margin'!$I36="",'Cost Margin'!$B$9,'Cost Margin'!$I36)=""),0,IF(MIN(IF('Cost Margin'!$I36="",'Cost Margin'!$B$9,'Cost Margin'!$I36),G$6)&lt;MAX(IF('Cost Margin'!$H36="",'Cost Margin'!$B$8,'Cost Margin'!$H36),G$5),0,IFERROR(NETWORKDAYS(MAX(IF('Cost Margin'!$H36="",'Cost Margin'!$B$8,'Cost Margin'!$H36),G$5),MIN(IF('Cost Margin'!$I36="",'Cost Margin'!$B$9,'Cost Margin'!$I36),G$6),INDEX(Settings!$J$7:$M$60,0,MATCH('Cost Margin'!$C36,Settings!$J$6:$M$6,0))),NETWORKDAYS(MAX(IF('Cost Margin'!$H36="",'Cost Margin'!$B$8,'Cost Margin'!$H36),G$5),MIN(IF('Cost Margin'!$I36="",'Cost Margin'!$B$9,'Cost Margin'!$I36),G$6)))))</f>
        <v>0</v>
      </c>
      <c r="H28" s="34">
        <f>IF(OR(H$5="",'Cost Margin'!$A36="",IF('Cost Margin'!$H36="",'Cost Margin'!$B$8,'Cost Margin'!$H36)="",IF('Cost Margin'!$I36="",'Cost Margin'!$B$9,'Cost Margin'!$I36)=""),0,IF(MIN(IF('Cost Margin'!$I36="",'Cost Margin'!$B$9,'Cost Margin'!$I36),H$6)&lt;MAX(IF('Cost Margin'!$H36="",'Cost Margin'!$B$8,'Cost Margin'!$H36),H$5),0,IFERROR(NETWORKDAYS(MAX(IF('Cost Margin'!$H36="",'Cost Margin'!$B$8,'Cost Margin'!$H36),H$5),MIN(IF('Cost Margin'!$I36="",'Cost Margin'!$B$9,'Cost Margin'!$I36),H$6),INDEX(Settings!$J$7:$M$60,0,MATCH('Cost Margin'!$C36,Settings!$J$6:$M$6,0))),NETWORKDAYS(MAX(IF('Cost Margin'!$H36="",'Cost Margin'!$B$8,'Cost Margin'!$H36),H$5),MIN(IF('Cost Margin'!$I36="",'Cost Margin'!$B$9,'Cost Margin'!$I36),H$6)))))</f>
        <v>0</v>
      </c>
      <c r="I28" s="34">
        <f>IF(OR(I$5="",'Cost Margin'!$A36="",IF('Cost Margin'!$H36="",'Cost Margin'!$B$8,'Cost Margin'!$H36)="",IF('Cost Margin'!$I36="",'Cost Margin'!$B$9,'Cost Margin'!$I36)=""),0,IF(MIN(IF('Cost Margin'!$I36="",'Cost Margin'!$B$9,'Cost Margin'!$I36),I$6)&lt;MAX(IF('Cost Margin'!$H36="",'Cost Margin'!$B$8,'Cost Margin'!$H36),I$5),0,IFERROR(NETWORKDAYS(MAX(IF('Cost Margin'!$H36="",'Cost Margin'!$B$8,'Cost Margin'!$H36),I$5),MIN(IF('Cost Margin'!$I36="",'Cost Margin'!$B$9,'Cost Margin'!$I36),I$6),INDEX(Settings!$J$7:$M$60,0,MATCH('Cost Margin'!$C36,Settings!$J$6:$M$6,0))),NETWORKDAYS(MAX(IF('Cost Margin'!$H36="",'Cost Margin'!$B$8,'Cost Margin'!$H36),I$5),MIN(IF('Cost Margin'!$I36="",'Cost Margin'!$B$9,'Cost Margin'!$I36),I$6)))))</f>
        <v>0</v>
      </c>
      <c r="J28" s="34">
        <f>IF(OR(J$5="",'Cost Margin'!$A36="",IF('Cost Margin'!$H36="",'Cost Margin'!$B$8,'Cost Margin'!$H36)="",IF('Cost Margin'!$I36="",'Cost Margin'!$B$9,'Cost Margin'!$I36)=""),0,IF(MIN(IF('Cost Margin'!$I36="",'Cost Margin'!$B$9,'Cost Margin'!$I36),J$6)&lt;MAX(IF('Cost Margin'!$H36="",'Cost Margin'!$B$8,'Cost Margin'!$H36),J$5),0,IFERROR(NETWORKDAYS(MAX(IF('Cost Margin'!$H36="",'Cost Margin'!$B$8,'Cost Margin'!$H36),J$5),MIN(IF('Cost Margin'!$I36="",'Cost Margin'!$B$9,'Cost Margin'!$I36),J$6),INDEX(Settings!$J$7:$M$60,0,MATCH('Cost Margin'!$C36,Settings!$J$6:$M$6,0))),NETWORKDAYS(MAX(IF('Cost Margin'!$H36="",'Cost Margin'!$B$8,'Cost Margin'!$H36),J$5),MIN(IF('Cost Margin'!$I36="",'Cost Margin'!$B$9,'Cost Margin'!$I36),J$6)))))</f>
        <v>0</v>
      </c>
      <c r="K28" s="34">
        <f>IF(OR(K$5="",'Cost Margin'!$A36="",IF('Cost Margin'!$H36="",'Cost Margin'!$B$8,'Cost Margin'!$H36)="",IF('Cost Margin'!$I36="",'Cost Margin'!$B$9,'Cost Margin'!$I36)=""),0,IF(MIN(IF('Cost Margin'!$I36="",'Cost Margin'!$B$9,'Cost Margin'!$I36),K$6)&lt;MAX(IF('Cost Margin'!$H36="",'Cost Margin'!$B$8,'Cost Margin'!$H36),K$5),0,IFERROR(NETWORKDAYS(MAX(IF('Cost Margin'!$H36="",'Cost Margin'!$B$8,'Cost Margin'!$H36),K$5),MIN(IF('Cost Margin'!$I36="",'Cost Margin'!$B$9,'Cost Margin'!$I36),K$6),INDEX(Settings!$J$7:$M$60,0,MATCH('Cost Margin'!$C36,Settings!$J$6:$M$6,0))),NETWORKDAYS(MAX(IF('Cost Margin'!$H36="",'Cost Margin'!$B$8,'Cost Margin'!$H36),K$5),MIN(IF('Cost Margin'!$I36="",'Cost Margin'!$B$9,'Cost Margin'!$I36),K$6)))))</f>
        <v>0</v>
      </c>
      <c r="L28" s="34">
        <f>IF(OR(L$5="",'Cost Margin'!$A36="",IF('Cost Margin'!$H36="",'Cost Margin'!$B$8,'Cost Margin'!$H36)="",IF('Cost Margin'!$I36="",'Cost Margin'!$B$9,'Cost Margin'!$I36)=""),0,IF(MIN(IF('Cost Margin'!$I36="",'Cost Margin'!$B$9,'Cost Margin'!$I36),L$6)&lt;MAX(IF('Cost Margin'!$H36="",'Cost Margin'!$B$8,'Cost Margin'!$H36),L$5),0,IFERROR(NETWORKDAYS(MAX(IF('Cost Margin'!$H36="",'Cost Margin'!$B$8,'Cost Margin'!$H36),L$5),MIN(IF('Cost Margin'!$I36="",'Cost Margin'!$B$9,'Cost Margin'!$I36),L$6),INDEX(Settings!$J$7:$M$60,0,MATCH('Cost Margin'!$C36,Settings!$J$6:$M$6,0))),NETWORKDAYS(MAX(IF('Cost Margin'!$H36="",'Cost Margin'!$B$8,'Cost Margin'!$H36),L$5),MIN(IF('Cost Margin'!$I36="",'Cost Margin'!$B$9,'Cost Margin'!$I36),L$6)))))</f>
        <v>0</v>
      </c>
      <c r="M28" s="34">
        <f>IF(OR(M$5="",'Cost Margin'!$A36="",IF('Cost Margin'!$H36="",'Cost Margin'!$B$8,'Cost Margin'!$H36)="",IF('Cost Margin'!$I36="",'Cost Margin'!$B$9,'Cost Margin'!$I36)=""),0,IF(MIN(IF('Cost Margin'!$I36="",'Cost Margin'!$B$9,'Cost Margin'!$I36),M$6)&lt;MAX(IF('Cost Margin'!$H36="",'Cost Margin'!$B$8,'Cost Margin'!$H36),M$5),0,IFERROR(NETWORKDAYS(MAX(IF('Cost Margin'!$H36="",'Cost Margin'!$B$8,'Cost Margin'!$H36),M$5),MIN(IF('Cost Margin'!$I36="",'Cost Margin'!$B$9,'Cost Margin'!$I36),M$6),INDEX(Settings!$J$7:$M$60,0,MATCH('Cost Margin'!$C36,Settings!$J$6:$M$6,0))),NETWORKDAYS(MAX(IF('Cost Margin'!$H36="",'Cost Margin'!$B$8,'Cost Margin'!$H36),M$5),MIN(IF('Cost Margin'!$I36="",'Cost Margin'!$B$9,'Cost Margin'!$I36),M$6)))))</f>
        <v>0</v>
      </c>
      <c r="N28" s="34">
        <f>IF(OR(N$5="",'Cost Margin'!$A36="",IF('Cost Margin'!$H36="",'Cost Margin'!$B$8,'Cost Margin'!$H36)="",IF('Cost Margin'!$I36="",'Cost Margin'!$B$9,'Cost Margin'!$I36)=""),0,IF(MIN(IF('Cost Margin'!$I36="",'Cost Margin'!$B$9,'Cost Margin'!$I36),N$6)&lt;MAX(IF('Cost Margin'!$H36="",'Cost Margin'!$B$8,'Cost Margin'!$H36),N$5),0,IFERROR(NETWORKDAYS(MAX(IF('Cost Margin'!$H36="",'Cost Margin'!$B$8,'Cost Margin'!$H36),N$5),MIN(IF('Cost Margin'!$I36="",'Cost Margin'!$B$9,'Cost Margin'!$I36),N$6),INDEX(Settings!$J$7:$M$60,0,MATCH('Cost Margin'!$C36,Settings!$J$6:$M$6,0))),NETWORKDAYS(MAX(IF('Cost Margin'!$H36="",'Cost Margin'!$B$8,'Cost Margin'!$H36),N$5),MIN(IF('Cost Margin'!$I36="",'Cost Margin'!$B$9,'Cost Margin'!$I36),N$6)))))</f>
        <v>0</v>
      </c>
      <c r="O28" s="34">
        <f>IF(OR(O$5="",'Cost Margin'!$A36="",IF('Cost Margin'!$H36="",'Cost Margin'!$B$8,'Cost Margin'!$H36)="",IF('Cost Margin'!$I36="",'Cost Margin'!$B$9,'Cost Margin'!$I36)=""),0,IF(MIN(IF('Cost Margin'!$I36="",'Cost Margin'!$B$9,'Cost Margin'!$I36),O$6)&lt;MAX(IF('Cost Margin'!$H36="",'Cost Margin'!$B$8,'Cost Margin'!$H36),O$5),0,IFERROR(NETWORKDAYS(MAX(IF('Cost Margin'!$H36="",'Cost Margin'!$B$8,'Cost Margin'!$H36),O$5),MIN(IF('Cost Margin'!$I36="",'Cost Margin'!$B$9,'Cost Margin'!$I36),O$6),INDEX(Settings!$J$7:$M$60,0,MATCH('Cost Margin'!$C36,Settings!$J$6:$M$6,0))),NETWORKDAYS(MAX(IF('Cost Margin'!$H36="",'Cost Margin'!$B$8,'Cost Margin'!$H36),O$5),MIN(IF('Cost Margin'!$I36="",'Cost Margin'!$B$9,'Cost Margin'!$I36),O$6)))))</f>
        <v>0</v>
      </c>
      <c r="P28" s="34">
        <f>IF(OR(P$5="",'Cost Margin'!$A36="",IF('Cost Margin'!$H36="",'Cost Margin'!$B$8,'Cost Margin'!$H36)="",IF('Cost Margin'!$I36="",'Cost Margin'!$B$9,'Cost Margin'!$I36)=""),0,IF(MIN(IF('Cost Margin'!$I36="",'Cost Margin'!$B$9,'Cost Margin'!$I36),P$6)&lt;MAX(IF('Cost Margin'!$H36="",'Cost Margin'!$B$8,'Cost Margin'!$H36),P$5),0,IFERROR(NETWORKDAYS(MAX(IF('Cost Margin'!$H36="",'Cost Margin'!$B$8,'Cost Margin'!$H36),P$5),MIN(IF('Cost Margin'!$I36="",'Cost Margin'!$B$9,'Cost Margin'!$I36),P$6),INDEX(Settings!$J$7:$M$60,0,MATCH('Cost Margin'!$C36,Settings!$J$6:$M$6,0))),NETWORKDAYS(MAX(IF('Cost Margin'!$H36="",'Cost Margin'!$B$8,'Cost Margin'!$H36),P$5),MIN(IF('Cost Margin'!$I36="",'Cost Margin'!$B$9,'Cost Margin'!$I36),P$6)))))</f>
        <v>0</v>
      </c>
      <c r="Q28" s="34">
        <f>IF(OR(Q$5="",'Cost Margin'!$A36="",IF('Cost Margin'!$H36="",'Cost Margin'!$B$8,'Cost Margin'!$H36)="",IF('Cost Margin'!$I36="",'Cost Margin'!$B$9,'Cost Margin'!$I36)=""),0,IF(MIN(IF('Cost Margin'!$I36="",'Cost Margin'!$B$9,'Cost Margin'!$I36),Q$6)&lt;MAX(IF('Cost Margin'!$H36="",'Cost Margin'!$B$8,'Cost Margin'!$H36),Q$5),0,IFERROR(NETWORKDAYS(MAX(IF('Cost Margin'!$H36="",'Cost Margin'!$B$8,'Cost Margin'!$H36),Q$5),MIN(IF('Cost Margin'!$I36="",'Cost Margin'!$B$9,'Cost Margin'!$I36),Q$6),INDEX(Settings!$J$7:$M$60,0,MATCH('Cost Margin'!$C36,Settings!$J$6:$M$6,0))),NETWORKDAYS(MAX(IF('Cost Margin'!$H36="",'Cost Margin'!$B$8,'Cost Margin'!$H36),Q$5),MIN(IF('Cost Margin'!$I36="",'Cost Margin'!$B$9,'Cost Margin'!$I36),Q$6)))))</f>
        <v>0</v>
      </c>
      <c r="R28" s="34">
        <f>IF(OR(R$5="",'Cost Margin'!$A36="",IF('Cost Margin'!$H36="",'Cost Margin'!$B$8,'Cost Margin'!$H36)="",IF('Cost Margin'!$I36="",'Cost Margin'!$B$9,'Cost Margin'!$I36)=""),0,IF(MIN(IF('Cost Margin'!$I36="",'Cost Margin'!$B$9,'Cost Margin'!$I36),R$6)&lt;MAX(IF('Cost Margin'!$H36="",'Cost Margin'!$B$8,'Cost Margin'!$H36),R$5),0,IFERROR(NETWORKDAYS(MAX(IF('Cost Margin'!$H36="",'Cost Margin'!$B$8,'Cost Margin'!$H36),R$5),MIN(IF('Cost Margin'!$I36="",'Cost Margin'!$B$9,'Cost Margin'!$I36),R$6),INDEX(Settings!$J$7:$M$60,0,MATCH('Cost Margin'!$C36,Settings!$J$6:$M$6,0))),NETWORKDAYS(MAX(IF('Cost Margin'!$H36="",'Cost Margin'!$B$8,'Cost Margin'!$H36),R$5),MIN(IF('Cost Margin'!$I36="",'Cost Margin'!$B$9,'Cost Margin'!$I36),R$6)))))</f>
        <v>0</v>
      </c>
      <c r="S28" s="34">
        <f>IF(OR(S$5="",'Cost Margin'!$A36="",IF('Cost Margin'!$H36="",'Cost Margin'!$B$8,'Cost Margin'!$H36)="",IF('Cost Margin'!$I36="",'Cost Margin'!$B$9,'Cost Margin'!$I36)=""),0,IF(MIN(IF('Cost Margin'!$I36="",'Cost Margin'!$B$9,'Cost Margin'!$I36),S$6)&lt;MAX(IF('Cost Margin'!$H36="",'Cost Margin'!$B$8,'Cost Margin'!$H36),S$5),0,IFERROR(NETWORKDAYS(MAX(IF('Cost Margin'!$H36="",'Cost Margin'!$B$8,'Cost Margin'!$H36),S$5),MIN(IF('Cost Margin'!$I36="",'Cost Margin'!$B$9,'Cost Margin'!$I36),S$6),INDEX(Settings!$J$7:$M$60,0,MATCH('Cost Margin'!$C36,Settings!$J$6:$M$6,0))),NETWORKDAYS(MAX(IF('Cost Margin'!$H36="",'Cost Margin'!$B$8,'Cost Margin'!$H36),S$5),MIN(IF('Cost Margin'!$I36="",'Cost Margin'!$B$9,'Cost Margin'!$I36),S$6)))))</f>
        <v>0</v>
      </c>
      <c r="T28" s="34">
        <f>IF(OR(T$5="",'Cost Margin'!$A36="",IF('Cost Margin'!$H36="",'Cost Margin'!$B$8,'Cost Margin'!$H36)="",IF('Cost Margin'!$I36="",'Cost Margin'!$B$9,'Cost Margin'!$I36)=""),0,IF(MIN(IF('Cost Margin'!$I36="",'Cost Margin'!$B$9,'Cost Margin'!$I36),T$6)&lt;MAX(IF('Cost Margin'!$H36="",'Cost Margin'!$B$8,'Cost Margin'!$H36),T$5),0,IFERROR(NETWORKDAYS(MAX(IF('Cost Margin'!$H36="",'Cost Margin'!$B$8,'Cost Margin'!$H36),T$5),MIN(IF('Cost Margin'!$I36="",'Cost Margin'!$B$9,'Cost Margin'!$I36),T$6),INDEX(Settings!$J$7:$M$60,0,MATCH('Cost Margin'!$C36,Settings!$J$6:$M$6,0))),NETWORKDAYS(MAX(IF('Cost Margin'!$H36="",'Cost Margin'!$B$8,'Cost Margin'!$H36),T$5),MIN(IF('Cost Margin'!$I36="",'Cost Margin'!$B$9,'Cost Margin'!$I36),T$6)))))</f>
        <v>0</v>
      </c>
      <c r="U28" s="34">
        <f>IF(OR(U$5="",'Cost Margin'!$A36="",IF('Cost Margin'!$H36="",'Cost Margin'!$B$8,'Cost Margin'!$H36)="",IF('Cost Margin'!$I36="",'Cost Margin'!$B$9,'Cost Margin'!$I36)=""),0,IF(MIN(IF('Cost Margin'!$I36="",'Cost Margin'!$B$9,'Cost Margin'!$I36),U$6)&lt;MAX(IF('Cost Margin'!$H36="",'Cost Margin'!$B$8,'Cost Margin'!$H36),U$5),0,IFERROR(NETWORKDAYS(MAX(IF('Cost Margin'!$H36="",'Cost Margin'!$B$8,'Cost Margin'!$H36),U$5),MIN(IF('Cost Margin'!$I36="",'Cost Margin'!$B$9,'Cost Margin'!$I36),U$6),INDEX(Settings!$J$7:$M$60,0,MATCH('Cost Margin'!$C36,Settings!$J$6:$M$6,0))),NETWORKDAYS(MAX(IF('Cost Margin'!$H36="",'Cost Margin'!$B$8,'Cost Margin'!$H36),U$5),MIN(IF('Cost Margin'!$I36="",'Cost Margin'!$B$9,'Cost Margin'!$I36),U$6)))))</f>
        <v>0</v>
      </c>
      <c r="V28" s="34">
        <f>IF(OR(V$5="",'Cost Margin'!$A36="",IF('Cost Margin'!$H36="",'Cost Margin'!$B$8,'Cost Margin'!$H36)="",IF('Cost Margin'!$I36="",'Cost Margin'!$B$9,'Cost Margin'!$I36)=""),0,IF(MIN(IF('Cost Margin'!$I36="",'Cost Margin'!$B$9,'Cost Margin'!$I36),V$6)&lt;MAX(IF('Cost Margin'!$H36="",'Cost Margin'!$B$8,'Cost Margin'!$H36),V$5),0,IFERROR(NETWORKDAYS(MAX(IF('Cost Margin'!$H36="",'Cost Margin'!$B$8,'Cost Margin'!$H36),V$5),MIN(IF('Cost Margin'!$I36="",'Cost Margin'!$B$9,'Cost Margin'!$I36),V$6),INDEX(Settings!$J$7:$M$60,0,MATCH('Cost Margin'!$C36,Settings!$J$6:$M$6,0))),NETWORKDAYS(MAX(IF('Cost Margin'!$H36="",'Cost Margin'!$B$8,'Cost Margin'!$H36),V$5),MIN(IF('Cost Margin'!$I36="",'Cost Margin'!$B$9,'Cost Margin'!$I36),V$6)))))</f>
        <v>0</v>
      </c>
      <c r="W28" s="34">
        <f>IF(OR(W$5="",'Cost Margin'!$A36="",IF('Cost Margin'!$H36="",'Cost Margin'!$B$8,'Cost Margin'!$H36)="",IF('Cost Margin'!$I36="",'Cost Margin'!$B$9,'Cost Margin'!$I36)=""),0,IF(MIN(IF('Cost Margin'!$I36="",'Cost Margin'!$B$9,'Cost Margin'!$I36),W$6)&lt;MAX(IF('Cost Margin'!$H36="",'Cost Margin'!$B$8,'Cost Margin'!$H36),W$5),0,IFERROR(NETWORKDAYS(MAX(IF('Cost Margin'!$H36="",'Cost Margin'!$B$8,'Cost Margin'!$H36),W$5),MIN(IF('Cost Margin'!$I36="",'Cost Margin'!$B$9,'Cost Margin'!$I36),W$6),INDEX(Settings!$J$7:$M$60,0,MATCH('Cost Margin'!$C36,Settings!$J$6:$M$6,0))),NETWORKDAYS(MAX(IF('Cost Margin'!$H36="",'Cost Margin'!$B$8,'Cost Margin'!$H36),W$5),MIN(IF('Cost Margin'!$I36="",'Cost Margin'!$B$9,'Cost Margin'!$I36),W$6)))))</f>
        <v>0</v>
      </c>
      <c r="X28" s="34">
        <f>IF(OR(X$5="",'Cost Margin'!$A36="",IF('Cost Margin'!$H36="",'Cost Margin'!$B$8,'Cost Margin'!$H36)="",IF('Cost Margin'!$I36="",'Cost Margin'!$B$9,'Cost Margin'!$I36)=""),0,IF(MIN(IF('Cost Margin'!$I36="",'Cost Margin'!$B$9,'Cost Margin'!$I36),X$6)&lt;MAX(IF('Cost Margin'!$H36="",'Cost Margin'!$B$8,'Cost Margin'!$H36),X$5),0,IFERROR(NETWORKDAYS(MAX(IF('Cost Margin'!$H36="",'Cost Margin'!$B$8,'Cost Margin'!$H36),X$5),MIN(IF('Cost Margin'!$I36="",'Cost Margin'!$B$9,'Cost Margin'!$I36),X$6),INDEX(Settings!$J$7:$M$60,0,MATCH('Cost Margin'!$C36,Settings!$J$6:$M$6,0))),NETWORKDAYS(MAX(IF('Cost Margin'!$H36="",'Cost Margin'!$B$8,'Cost Margin'!$H36),X$5),MIN(IF('Cost Margin'!$I36="",'Cost Margin'!$B$9,'Cost Margin'!$I36),X$6)))))</f>
        <v>0</v>
      </c>
      <c r="Y28" s="34">
        <f>IF(OR(Y$5="",'Cost Margin'!$A36="",IF('Cost Margin'!$H36="",'Cost Margin'!$B$8,'Cost Margin'!$H36)="",IF('Cost Margin'!$I36="",'Cost Margin'!$B$9,'Cost Margin'!$I36)=""),0,IF(MIN(IF('Cost Margin'!$I36="",'Cost Margin'!$B$9,'Cost Margin'!$I36),Y$6)&lt;MAX(IF('Cost Margin'!$H36="",'Cost Margin'!$B$8,'Cost Margin'!$H36),Y$5),0,IFERROR(NETWORKDAYS(MAX(IF('Cost Margin'!$H36="",'Cost Margin'!$B$8,'Cost Margin'!$H36),Y$5),MIN(IF('Cost Margin'!$I36="",'Cost Margin'!$B$9,'Cost Margin'!$I36),Y$6),INDEX(Settings!$J$7:$M$60,0,MATCH('Cost Margin'!$C36,Settings!$J$6:$M$6,0))),NETWORKDAYS(MAX(IF('Cost Margin'!$H36="",'Cost Margin'!$B$8,'Cost Margin'!$H36),Y$5),MIN(IF('Cost Margin'!$I36="",'Cost Margin'!$B$9,'Cost Margin'!$I36),Y$6)))))</f>
        <v>0</v>
      </c>
      <c r="Z28" s="34">
        <f>IF(OR(Z$5="",'Cost Margin'!$A36="",IF('Cost Margin'!$H36="",'Cost Margin'!$B$8,'Cost Margin'!$H36)="",IF('Cost Margin'!$I36="",'Cost Margin'!$B$9,'Cost Margin'!$I36)=""),0,IF(MIN(IF('Cost Margin'!$I36="",'Cost Margin'!$B$9,'Cost Margin'!$I36),Z$6)&lt;MAX(IF('Cost Margin'!$H36="",'Cost Margin'!$B$8,'Cost Margin'!$H36),Z$5),0,IFERROR(NETWORKDAYS(MAX(IF('Cost Margin'!$H36="",'Cost Margin'!$B$8,'Cost Margin'!$H36),Z$5),MIN(IF('Cost Margin'!$I36="",'Cost Margin'!$B$9,'Cost Margin'!$I36),Z$6),INDEX(Settings!$J$7:$M$60,0,MATCH('Cost Margin'!$C36,Settings!$J$6:$M$6,0))),NETWORKDAYS(MAX(IF('Cost Margin'!$H36="",'Cost Margin'!$B$8,'Cost Margin'!$H36),Z$5),MIN(IF('Cost Margin'!$I36="",'Cost Margin'!$B$9,'Cost Margin'!$I36),Z$6)))))</f>
        <v>0</v>
      </c>
    </row>
    <row r="30" spans="1:26" x14ac:dyDescent="0.2">
      <c r="A30" s="4" t="s">
        <v>114</v>
      </c>
    </row>
    <row r="31" spans="1:26" x14ac:dyDescent="0.2">
      <c r="A31">
        <v>1</v>
      </c>
      <c r="B31" s="33" t="str">
        <f>IF('Cost Margin'!A17="","",'Cost Margin'!A17)</f>
        <v>Vikrin</v>
      </c>
      <c r="C31" s="34">
        <f>IF(C9=0,0,IF('Cost Margin'!$K17&lt;&gt;"",'Cost Margin'!$K17*C9/'Cost Margin'!$J17,C9*Settings!$B$3*IF('Cost Margin'!$D17="",1,'Cost Margin'!$D17)))</f>
        <v>144</v>
      </c>
      <c r="D31" s="34">
        <f>IF(D9=0,0,IF('Cost Margin'!$K17&lt;&gt;"",'Cost Margin'!$K17*D9/'Cost Margin'!$J17,D9*Settings!$B$3*IF('Cost Margin'!$D17="",1,'Cost Margin'!$D17)))</f>
        <v>24</v>
      </c>
      <c r="E31" s="34">
        <f>IF(E9=0,0,IF('Cost Margin'!$K17&lt;&gt;"",'Cost Margin'!$K17*E9/'Cost Margin'!$J17,E9*Settings!$B$3*IF('Cost Margin'!$D17="",1,'Cost Margin'!$D17)))</f>
        <v>0</v>
      </c>
      <c r="F31" s="34">
        <f>IF(F9=0,0,IF('Cost Margin'!$K17&lt;&gt;"",'Cost Margin'!$K17*F9/'Cost Margin'!$J17,F9*Settings!$B$3*IF('Cost Margin'!$D17="",1,'Cost Margin'!$D17)))</f>
        <v>0</v>
      </c>
      <c r="G31" s="34">
        <f>IF(G9=0,0,IF('Cost Margin'!$K17&lt;&gt;"",'Cost Margin'!$K17*G9/'Cost Margin'!$J17,G9*Settings!$B$3*IF('Cost Margin'!$D17="",1,'Cost Margin'!$D17)))</f>
        <v>0</v>
      </c>
      <c r="H31" s="34">
        <f>IF(H9=0,0,IF('Cost Margin'!$K17&lt;&gt;"",'Cost Margin'!$K17*H9/'Cost Margin'!$J17,H9*Settings!$B$3*IF('Cost Margin'!$D17="",1,'Cost Margin'!$D17)))</f>
        <v>0</v>
      </c>
      <c r="I31" s="34">
        <f>IF(I9=0,0,IF('Cost Margin'!$K17&lt;&gt;"",'Cost Margin'!$K17*I9/'Cost Margin'!$J17,I9*Settings!$B$3*IF('Cost Margin'!$D17="",1,'Cost Margin'!$D17)))</f>
        <v>0</v>
      </c>
      <c r="J31" s="34">
        <f>IF(J9=0,0,IF('Cost Margin'!$K17&lt;&gt;"",'Cost Margin'!$K17*J9/'Cost Margin'!$J17,J9*Settings!$B$3*IF('Cost Margin'!$D17="",1,'Cost Margin'!$D17)))</f>
        <v>0</v>
      </c>
      <c r="K31" s="34">
        <f>IF(K9=0,0,IF('Cost Margin'!$K17&lt;&gt;"",'Cost Margin'!$K17*K9/'Cost Margin'!$J17,K9*Settings!$B$3*IF('Cost Margin'!$D17="",1,'Cost Margin'!$D17)))</f>
        <v>0</v>
      </c>
      <c r="L31" s="34">
        <f>IF(L9=0,0,IF('Cost Margin'!$K17&lt;&gt;"",'Cost Margin'!$K17*L9/'Cost Margin'!$J17,L9*Settings!$B$3*IF('Cost Margin'!$D17="",1,'Cost Margin'!$D17)))</f>
        <v>0</v>
      </c>
      <c r="M31" s="34">
        <f>IF(M9=0,0,IF('Cost Margin'!$K17&lt;&gt;"",'Cost Margin'!$K17*M9/'Cost Margin'!$J17,M9*Settings!$B$3*IF('Cost Margin'!$D17="",1,'Cost Margin'!$D17)))</f>
        <v>0</v>
      </c>
      <c r="N31" s="34">
        <f>IF(N9=0,0,IF('Cost Margin'!$K17&lt;&gt;"",'Cost Margin'!$K17*N9/'Cost Margin'!$J17,N9*Settings!$B$3*IF('Cost Margin'!$D17="",1,'Cost Margin'!$D17)))</f>
        <v>0</v>
      </c>
      <c r="O31" s="34">
        <f>IF(O9=0,0,IF('Cost Margin'!$K17&lt;&gt;"",'Cost Margin'!$K17*O9/'Cost Margin'!$J17,O9*Settings!$B$3*IF('Cost Margin'!$D17="",1,'Cost Margin'!$D17)))</f>
        <v>0</v>
      </c>
      <c r="P31" s="34">
        <f>IF(P9=0,0,IF('Cost Margin'!$K17&lt;&gt;"",'Cost Margin'!$K17*P9/'Cost Margin'!$J17,P9*Settings!$B$3*IF('Cost Margin'!$D17="",1,'Cost Margin'!$D17)))</f>
        <v>0</v>
      </c>
      <c r="Q31" s="34">
        <f>IF(Q9=0,0,IF('Cost Margin'!$K17&lt;&gt;"",'Cost Margin'!$K17*Q9/'Cost Margin'!$J17,Q9*Settings!$B$3*IF('Cost Margin'!$D17="",1,'Cost Margin'!$D17)))</f>
        <v>0</v>
      </c>
      <c r="R31" s="34">
        <f>IF(R9=0,0,IF('Cost Margin'!$K17&lt;&gt;"",'Cost Margin'!$K17*R9/'Cost Margin'!$J17,R9*Settings!$B$3*IF('Cost Margin'!$D17="",1,'Cost Margin'!$D17)))</f>
        <v>0</v>
      </c>
      <c r="S31" s="34">
        <f>IF(S9=0,0,IF('Cost Margin'!$K17&lt;&gt;"",'Cost Margin'!$K17*S9/'Cost Margin'!$J17,S9*Settings!$B$3*IF('Cost Margin'!$D17="",1,'Cost Margin'!$D17)))</f>
        <v>0</v>
      </c>
      <c r="T31" s="34">
        <f>IF(T9=0,0,IF('Cost Margin'!$K17&lt;&gt;"",'Cost Margin'!$K17*T9/'Cost Margin'!$J17,T9*Settings!$B$3*IF('Cost Margin'!$D17="",1,'Cost Margin'!$D17)))</f>
        <v>0</v>
      </c>
      <c r="U31" s="34">
        <f>IF(U9=0,0,IF('Cost Margin'!$K17&lt;&gt;"",'Cost Margin'!$K17*U9/'Cost Margin'!$J17,U9*Settings!$B$3*IF('Cost Margin'!$D17="",1,'Cost Margin'!$D17)))</f>
        <v>0</v>
      </c>
      <c r="V31" s="34">
        <f>IF(V9=0,0,IF('Cost Margin'!$K17&lt;&gt;"",'Cost Margin'!$K17*V9/'Cost Margin'!$J17,V9*Settings!$B$3*IF('Cost Margin'!$D17="",1,'Cost Margin'!$D17)))</f>
        <v>0</v>
      </c>
      <c r="W31" s="34">
        <f>IF(W9=0,0,IF('Cost Margin'!$K17&lt;&gt;"",'Cost Margin'!$K17*W9/'Cost Margin'!$J17,W9*Settings!$B$3*IF('Cost Margin'!$D17="",1,'Cost Margin'!$D17)))</f>
        <v>0</v>
      </c>
      <c r="X31" s="34">
        <f>IF(X9=0,0,IF('Cost Margin'!$K17&lt;&gt;"",'Cost Margin'!$K17*X9/'Cost Margin'!$J17,X9*Settings!$B$3*IF('Cost Margin'!$D17="",1,'Cost Margin'!$D17)))</f>
        <v>0</v>
      </c>
      <c r="Y31" s="34">
        <f>IF(Y9=0,0,IF('Cost Margin'!$K17&lt;&gt;"",'Cost Margin'!$K17*Y9/'Cost Margin'!$J17,Y9*Settings!$B$3*IF('Cost Margin'!$D17="",1,'Cost Margin'!$D17)))</f>
        <v>0</v>
      </c>
      <c r="Z31" s="34">
        <f>IF(Z9=0,0,IF('Cost Margin'!$K17&lt;&gt;"",'Cost Margin'!$K17*Z9/'Cost Margin'!$J17,Z9*Settings!$B$3*IF('Cost Margin'!$D17="",1,'Cost Margin'!$D17)))</f>
        <v>0</v>
      </c>
    </row>
    <row r="32" spans="1:26" x14ac:dyDescent="0.2">
      <c r="A32">
        <v>2</v>
      </c>
      <c r="B32" s="33" t="str">
        <f>IF('Cost Margin'!A18="","",'Cost Margin'!A18)</f>
        <v>srikanth</v>
      </c>
      <c r="C32" s="34">
        <f>IF(C10=0,0,IF('Cost Margin'!$K18&lt;&gt;"",'Cost Margin'!$K18*C10/'Cost Margin'!$J18,C10*Settings!$B$3*IF('Cost Margin'!$D18="",1,'Cost Margin'!$D18)))</f>
        <v>34.56</v>
      </c>
      <c r="D32" s="34">
        <f>IF(D10=0,0,IF('Cost Margin'!$K18&lt;&gt;"",'Cost Margin'!$K18*D10/'Cost Margin'!$J18,D10*Settings!$B$3*IF('Cost Margin'!$D18="",1,'Cost Margin'!$D18)))</f>
        <v>5.76</v>
      </c>
      <c r="E32" s="34">
        <f>IF(E10=0,0,IF('Cost Margin'!$K18&lt;&gt;"",'Cost Margin'!$K18*E10/'Cost Margin'!$J18,E10*Settings!$B$3*IF('Cost Margin'!$D18="",1,'Cost Margin'!$D18)))</f>
        <v>0</v>
      </c>
      <c r="F32" s="34">
        <f>IF(F10=0,0,IF('Cost Margin'!$K18&lt;&gt;"",'Cost Margin'!$K18*F10/'Cost Margin'!$J18,F10*Settings!$B$3*IF('Cost Margin'!$D18="",1,'Cost Margin'!$D18)))</f>
        <v>0</v>
      </c>
      <c r="G32" s="34">
        <f>IF(G10=0,0,IF('Cost Margin'!$K18&lt;&gt;"",'Cost Margin'!$K18*G10/'Cost Margin'!$J18,G10*Settings!$B$3*IF('Cost Margin'!$D18="",1,'Cost Margin'!$D18)))</f>
        <v>0</v>
      </c>
      <c r="H32" s="34">
        <f>IF(H10=0,0,IF('Cost Margin'!$K18&lt;&gt;"",'Cost Margin'!$K18*H10/'Cost Margin'!$J18,H10*Settings!$B$3*IF('Cost Margin'!$D18="",1,'Cost Margin'!$D18)))</f>
        <v>0</v>
      </c>
      <c r="I32" s="34">
        <f>IF(I10=0,0,IF('Cost Margin'!$K18&lt;&gt;"",'Cost Margin'!$K18*I10/'Cost Margin'!$J18,I10*Settings!$B$3*IF('Cost Margin'!$D18="",1,'Cost Margin'!$D18)))</f>
        <v>0</v>
      </c>
      <c r="J32" s="34">
        <f>IF(J10=0,0,IF('Cost Margin'!$K18&lt;&gt;"",'Cost Margin'!$K18*J10/'Cost Margin'!$J18,J10*Settings!$B$3*IF('Cost Margin'!$D18="",1,'Cost Margin'!$D18)))</f>
        <v>0</v>
      </c>
      <c r="K32" s="34">
        <f>IF(K10=0,0,IF('Cost Margin'!$K18&lt;&gt;"",'Cost Margin'!$K18*K10/'Cost Margin'!$J18,K10*Settings!$B$3*IF('Cost Margin'!$D18="",1,'Cost Margin'!$D18)))</f>
        <v>0</v>
      </c>
      <c r="L32" s="34">
        <f>IF(L10=0,0,IF('Cost Margin'!$K18&lt;&gt;"",'Cost Margin'!$K18*L10/'Cost Margin'!$J18,L10*Settings!$B$3*IF('Cost Margin'!$D18="",1,'Cost Margin'!$D18)))</f>
        <v>0</v>
      </c>
      <c r="M32" s="34">
        <f>IF(M10=0,0,IF('Cost Margin'!$K18&lt;&gt;"",'Cost Margin'!$K18*M10/'Cost Margin'!$J18,M10*Settings!$B$3*IF('Cost Margin'!$D18="",1,'Cost Margin'!$D18)))</f>
        <v>0</v>
      </c>
      <c r="N32" s="34">
        <f>IF(N10=0,0,IF('Cost Margin'!$K18&lt;&gt;"",'Cost Margin'!$K18*N10/'Cost Margin'!$J18,N10*Settings!$B$3*IF('Cost Margin'!$D18="",1,'Cost Margin'!$D18)))</f>
        <v>0</v>
      </c>
      <c r="O32" s="34">
        <f>IF(O10=0,0,IF('Cost Margin'!$K18&lt;&gt;"",'Cost Margin'!$K18*O10/'Cost Margin'!$J18,O10*Settings!$B$3*IF('Cost Margin'!$D18="",1,'Cost Margin'!$D18)))</f>
        <v>0</v>
      </c>
      <c r="P32" s="34">
        <f>IF(P10=0,0,IF('Cost Margin'!$K18&lt;&gt;"",'Cost Margin'!$K18*P10/'Cost Margin'!$J18,P10*Settings!$B$3*IF('Cost Margin'!$D18="",1,'Cost Margin'!$D18)))</f>
        <v>0</v>
      </c>
      <c r="Q32" s="34">
        <f>IF(Q10=0,0,IF('Cost Margin'!$K18&lt;&gt;"",'Cost Margin'!$K18*Q10/'Cost Margin'!$J18,Q10*Settings!$B$3*IF('Cost Margin'!$D18="",1,'Cost Margin'!$D18)))</f>
        <v>0</v>
      </c>
      <c r="R32" s="34">
        <f>IF(R10=0,0,IF('Cost Margin'!$K18&lt;&gt;"",'Cost Margin'!$K18*R10/'Cost Margin'!$J18,R10*Settings!$B$3*IF('Cost Margin'!$D18="",1,'Cost Margin'!$D18)))</f>
        <v>0</v>
      </c>
      <c r="S32" s="34">
        <f>IF(S10=0,0,IF('Cost Margin'!$K18&lt;&gt;"",'Cost Margin'!$K18*S10/'Cost Margin'!$J18,S10*Settings!$B$3*IF('Cost Margin'!$D18="",1,'Cost Margin'!$D18)))</f>
        <v>0</v>
      </c>
      <c r="T32" s="34">
        <f>IF(T10=0,0,IF('Cost Margin'!$K18&lt;&gt;"",'Cost Margin'!$K18*T10/'Cost Margin'!$J18,T10*Settings!$B$3*IF('Cost Margin'!$D18="",1,'Cost Margin'!$D18)))</f>
        <v>0</v>
      </c>
      <c r="U32" s="34">
        <f>IF(U10=0,0,IF('Cost Margin'!$K18&lt;&gt;"",'Cost Margin'!$K18*U10/'Cost Margin'!$J18,U10*Settings!$B$3*IF('Cost Margin'!$D18="",1,'Cost Margin'!$D18)))</f>
        <v>0</v>
      </c>
      <c r="V32" s="34">
        <f>IF(V10=0,0,IF('Cost Margin'!$K18&lt;&gt;"",'Cost Margin'!$K18*V10/'Cost Margin'!$J18,V10*Settings!$B$3*IF('Cost Margin'!$D18="",1,'Cost Margin'!$D18)))</f>
        <v>0</v>
      </c>
      <c r="W32" s="34">
        <f>IF(W10=0,0,IF('Cost Margin'!$K18&lt;&gt;"",'Cost Margin'!$K18*W10/'Cost Margin'!$J18,W10*Settings!$B$3*IF('Cost Margin'!$D18="",1,'Cost Margin'!$D18)))</f>
        <v>0</v>
      </c>
      <c r="X32" s="34">
        <f>IF(X10=0,0,IF('Cost Margin'!$K18&lt;&gt;"",'Cost Margin'!$K18*X10/'Cost Margin'!$J18,X10*Settings!$B$3*IF('Cost Margin'!$D18="",1,'Cost Margin'!$D18)))</f>
        <v>0</v>
      </c>
      <c r="Y32" s="34">
        <f>IF(Y10=0,0,IF('Cost Margin'!$K18&lt;&gt;"",'Cost Margin'!$K18*Y10/'Cost Margin'!$J18,Y10*Settings!$B$3*IF('Cost Margin'!$D18="",1,'Cost Margin'!$D18)))</f>
        <v>0</v>
      </c>
      <c r="Z32" s="34">
        <f>IF(Z10=0,0,IF('Cost Margin'!$K18&lt;&gt;"",'Cost Margin'!$K18*Z10/'Cost Margin'!$J18,Z10*Settings!$B$3*IF('Cost Margin'!$D18="",1,'Cost Margin'!$D18)))</f>
        <v>0</v>
      </c>
    </row>
    <row r="33" spans="1:26" x14ac:dyDescent="0.2">
      <c r="A33">
        <v>3</v>
      </c>
      <c r="B33" s="33" t="str">
        <f>IF('Cost Margin'!A19="","",'Cost Margin'!A19)</f>
        <v/>
      </c>
      <c r="C33" s="34">
        <f>IF(C11=0,0,IF('Cost Margin'!$K19&lt;&gt;"",'Cost Margin'!$K19*C11/'Cost Margin'!$J19,C11*Settings!$B$3*IF('Cost Margin'!$D19="",1,'Cost Margin'!$D19)))</f>
        <v>0</v>
      </c>
      <c r="D33" s="34">
        <f>IF(D11=0,0,IF('Cost Margin'!$K19&lt;&gt;"",'Cost Margin'!$K19*D11/'Cost Margin'!$J19,D11*Settings!$B$3*IF('Cost Margin'!$D19="",1,'Cost Margin'!$D19)))</f>
        <v>0</v>
      </c>
      <c r="E33" s="34">
        <f>IF(E11=0,0,IF('Cost Margin'!$K19&lt;&gt;"",'Cost Margin'!$K19*E11/'Cost Margin'!$J19,E11*Settings!$B$3*IF('Cost Margin'!$D19="",1,'Cost Margin'!$D19)))</f>
        <v>0</v>
      </c>
      <c r="F33" s="34">
        <f>IF(F11=0,0,IF('Cost Margin'!$K19&lt;&gt;"",'Cost Margin'!$K19*F11/'Cost Margin'!$J19,F11*Settings!$B$3*IF('Cost Margin'!$D19="",1,'Cost Margin'!$D19)))</f>
        <v>0</v>
      </c>
      <c r="G33" s="34">
        <f>IF(G11=0,0,IF('Cost Margin'!$K19&lt;&gt;"",'Cost Margin'!$K19*G11/'Cost Margin'!$J19,G11*Settings!$B$3*IF('Cost Margin'!$D19="",1,'Cost Margin'!$D19)))</f>
        <v>0</v>
      </c>
      <c r="H33" s="34">
        <f>IF(H11=0,0,IF('Cost Margin'!$K19&lt;&gt;"",'Cost Margin'!$K19*H11/'Cost Margin'!$J19,H11*Settings!$B$3*IF('Cost Margin'!$D19="",1,'Cost Margin'!$D19)))</f>
        <v>0</v>
      </c>
      <c r="I33" s="34">
        <f>IF(I11=0,0,IF('Cost Margin'!$K19&lt;&gt;"",'Cost Margin'!$K19*I11/'Cost Margin'!$J19,I11*Settings!$B$3*IF('Cost Margin'!$D19="",1,'Cost Margin'!$D19)))</f>
        <v>0</v>
      </c>
      <c r="J33" s="34">
        <f>IF(J11=0,0,IF('Cost Margin'!$K19&lt;&gt;"",'Cost Margin'!$K19*J11/'Cost Margin'!$J19,J11*Settings!$B$3*IF('Cost Margin'!$D19="",1,'Cost Margin'!$D19)))</f>
        <v>0</v>
      </c>
      <c r="K33" s="34">
        <f>IF(K11=0,0,IF('Cost Margin'!$K19&lt;&gt;"",'Cost Margin'!$K19*K11/'Cost Margin'!$J19,K11*Settings!$B$3*IF('Cost Margin'!$D19="",1,'Cost Margin'!$D19)))</f>
        <v>0</v>
      </c>
      <c r="L33" s="34">
        <f>IF(L11=0,0,IF('Cost Margin'!$K19&lt;&gt;"",'Cost Margin'!$K19*L11/'Cost Margin'!$J19,L11*Settings!$B$3*IF('Cost Margin'!$D19="",1,'Cost Margin'!$D19)))</f>
        <v>0</v>
      </c>
      <c r="M33" s="34">
        <f>IF(M11=0,0,IF('Cost Margin'!$K19&lt;&gt;"",'Cost Margin'!$K19*M11/'Cost Margin'!$J19,M11*Settings!$B$3*IF('Cost Margin'!$D19="",1,'Cost Margin'!$D19)))</f>
        <v>0</v>
      </c>
      <c r="N33" s="34">
        <f>IF(N11=0,0,IF('Cost Margin'!$K19&lt;&gt;"",'Cost Margin'!$K19*N11/'Cost Margin'!$J19,N11*Settings!$B$3*IF('Cost Margin'!$D19="",1,'Cost Margin'!$D19)))</f>
        <v>0</v>
      </c>
      <c r="O33" s="34">
        <f>IF(O11=0,0,IF('Cost Margin'!$K19&lt;&gt;"",'Cost Margin'!$K19*O11/'Cost Margin'!$J19,O11*Settings!$B$3*IF('Cost Margin'!$D19="",1,'Cost Margin'!$D19)))</f>
        <v>0</v>
      </c>
      <c r="P33" s="34">
        <f>IF(P11=0,0,IF('Cost Margin'!$K19&lt;&gt;"",'Cost Margin'!$K19*P11/'Cost Margin'!$J19,P11*Settings!$B$3*IF('Cost Margin'!$D19="",1,'Cost Margin'!$D19)))</f>
        <v>0</v>
      </c>
      <c r="Q33" s="34">
        <f>IF(Q11=0,0,IF('Cost Margin'!$K19&lt;&gt;"",'Cost Margin'!$K19*Q11/'Cost Margin'!$J19,Q11*Settings!$B$3*IF('Cost Margin'!$D19="",1,'Cost Margin'!$D19)))</f>
        <v>0</v>
      </c>
      <c r="R33" s="34">
        <f>IF(R11=0,0,IF('Cost Margin'!$K19&lt;&gt;"",'Cost Margin'!$K19*R11/'Cost Margin'!$J19,R11*Settings!$B$3*IF('Cost Margin'!$D19="",1,'Cost Margin'!$D19)))</f>
        <v>0</v>
      </c>
      <c r="S33" s="34">
        <f>IF(S11=0,0,IF('Cost Margin'!$K19&lt;&gt;"",'Cost Margin'!$K19*S11/'Cost Margin'!$J19,S11*Settings!$B$3*IF('Cost Margin'!$D19="",1,'Cost Margin'!$D19)))</f>
        <v>0</v>
      </c>
      <c r="T33" s="34">
        <f>IF(T11=0,0,IF('Cost Margin'!$K19&lt;&gt;"",'Cost Margin'!$K19*T11/'Cost Margin'!$J19,T11*Settings!$B$3*IF('Cost Margin'!$D19="",1,'Cost Margin'!$D19)))</f>
        <v>0</v>
      </c>
      <c r="U33" s="34">
        <f>IF(U11=0,0,IF('Cost Margin'!$K19&lt;&gt;"",'Cost Margin'!$K19*U11/'Cost Margin'!$J19,U11*Settings!$B$3*IF('Cost Margin'!$D19="",1,'Cost Margin'!$D19)))</f>
        <v>0</v>
      </c>
      <c r="V33" s="34">
        <f>IF(V11=0,0,IF('Cost Margin'!$K19&lt;&gt;"",'Cost Margin'!$K19*V11/'Cost Margin'!$J19,V11*Settings!$B$3*IF('Cost Margin'!$D19="",1,'Cost Margin'!$D19)))</f>
        <v>0</v>
      </c>
      <c r="W33" s="34">
        <f>IF(W11=0,0,IF('Cost Margin'!$K19&lt;&gt;"",'Cost Margin'!$K19*W11/'Cost Margin'!$J19,W11*Settings!$B$3*IF('Cost Margin'!$D19="",1,'Cost Margin'!$D19)))</f>
        <v>0</v>
      </c>
      <c r="X33" s="34">
        <f>IF(X11=0,0,IF('Cost Margin'!$K19&lt;&gt;"",'Cost Margin'!$K19*X11/'Cost Margin'!$J19,X11*Settings!$B$3*IF('Cost Margin'!$D19="",1,'Cost Margin'!$D19)))</f>
        <v>0</v>
      </c>
      <c r="Y33" s="34">
        <f>IF(Y11=0,0,IF('Cost Margin'!$K19&lt;&gt;"",'Cost Margin'!$K19*Y11/'Cost Margin'!$J19,Y11*Settings!$B$3*IF('Cost Margin'!$D19="",1,'Cost Margin'!$D19)))</f>
        <v>0</v>
      </c>
      <c r="Z33" s="34">
        <f>IF(Z11=0,0,IF('Cost Margin'!$K19&lt;&gt;"",'Cost Margin'!$K19*Z11/'Cost Margin'!$J19,Z11*Settings!$B$3*IF('Cost Margin'!$D19="",1,'Cost Margin'!$D19)))</f>
        <v>0</v>
      </c>
    </row>
    <row r="34" spans="1:26" x14ac:dyDescent="0.2">
      <c r="A34">
        <v>4</v>
      </c>
      <c r="B34" s="33" t="str">
        <f>IF('Cost Margin'!A20="","",'Cost Margin'!A20)</f>
        <v/>
      </c>
      <c r="C34" s="34">
        <f>IF(C12=0,0,IF('Cost Margin'!$K20&lt;&gt;"",'Cost Margin'!$K20*C12/'Cost Margin'!$J20,C12*Settings!$B$3*IF('Cost Margin'!$D20="",1,'Cost Margin'!$D20)))</f>
        <v>0</v>
      </c>
      <c r="D34" s="34">
        <f>IF(D12=0,0,IF('Cost Margin'!$K20&lt;&gt;"",'Cost Margin'!$K20*D12/'Cost Margin'!$J20,D12*Settings!$B$3*IF('Cost Margin'!$D20="",1,'Cost Margin'!$D20)))</f>
        <v>0</v>
      </c>
      <c r="E34" s="34">
        <f>IF(E12=0,0,IF('Cost Margin'!$K20&lt;&gt;"",'Cost Margin'!$K20*E12/'Cost Margin'!$J20,E12*Settings!$B$3*IF('Cost Margin'!$D20="",1,'Cost Margin'!$D20)))</f>
        <v>0</v>
      </c>
      <c r="F34" s="34">
        <f>IF(F12=0,0,IF('Cost Margin'!$K20&lt;&gt;"",'Cost Margin'!$K20*F12/'Cost Margin'!$J20,F12*Settings!$B$3*IF('Cost Margin'!$D20="",1,'Cost Margin'!$D20)))</f>
        <v>0</v>
      </c>
      <c r="G34" s="34">
        <f>IF(G12=0,0,IF('Cost Margin'!$K20&lt;&gt;"",'Cost Margin'!$K20*G12/'Cost Margin'!$J20,G12*Settings!$B$3*IF('Cost Margin'!$D20="",1,'Cost Margin'!$D20)))</f>
        <v>0</v>
      </c>
      <c r="H34" s="34">
        <f>IF(H12=0,0,IF('Cost Margin'!$K20&lt;&gt;"",'Cost Margin'!$K20*H12/'Cost Margin'!$J20,H12*Settings!$B$3*IF('Cost Margin'!$D20="",1,'Cost Margin'!$D20)))</f>
        <v>0</v>
      </c>
      <c r="I34" s="34">
        <f>IF(I12=0,0,IF('Cost Margin'!$K20&lt;&gt;"",'Cost Margin'!$K20*I12/'Cost Margin'!$J20,I12*Settings!$B$3*IF('Cost Margin'!$D20="",1,'Cost Margin'!$D20)))</f>
        <v>0</v>
      </c>
      <c r="J34" s="34">
        <f>IF(J12=0,0,IF('Cost Margin'!$K20&lt;&gt;"",'Cost Margin'!$K20*J12/'Cost Margin'!$J20,J12*Settings!$B$3*IF('Cost Margin'!$D20="",1,'Cost Margin'!$D20)))</f>
        <v>0</v>
      </c>
      <c r="K34" s="34">
        <f>IF(K12=0,0,IF('Cost Margin'!$K20&lt;&gt;"",'Cost Margin'!$K20*K12/'Cost Margin'!$J20,K12*Settings!$B$3*IF('Cost Margin'!$D20="",1,'Cost Margin'!$D20)))</f>
        <v>0</v>
      </c>
      <c r="L34" s="34">
        <f>IF(L12=0,0,IF('Cost Margin'!$K20&lt;&gt;"",'Cost Margin'!$K20*L12/'Cost Margin'!$J20,L12*Settings!$B$3*IF('Cost Margin'!$D20="",1,'Cost Margin'!$D20)))</f>
        <v>0</v>
      </c>
      <c r="M34" s="34">
        <f>IF(M12=0,0,IF('Cost Margin'!$K20&lt;&gt;"",'Cost Margin'!$K20*M12/'Cost Margin'!$J20,M12*Settings!$B$3*IF('Cost Margin'!$D20="",1,'Cost Margin'!$D20)))</f>
        <v>0</v>
      </c>
      <c r="N34" s="34">
        <f>IF(N12=0,0,IF('Cost Margin'!$K20&lt;&gt;"",'Cost Margin'!$K20*N12/'Cost Margin'!$J20,N12*Settings!$B$3*IF('Cost Margin'!$D20="",1,'Cost Margin'!$D20)))</f>
        <v>0</v>
      </c>
      <c r="O34" s="34">
        <f>IF(O12=0,0,IF('Cost Margin'!$K20&lt;&gt;"",'Cost Margin'!$K20*O12/'Cost Margin'!$J20,O12*Settings!$B$3*IF('Cost Margin'!$D20="",1,'Cost Margin'!$D20)))</f>
        <v>0</v>
      </c>
      <c r="P34" s="34">
        <f>IF(P12=0,0,IF('Cost Margin'!$K20&lt;&gt;"",'Cost Margin'!$K20*P12/'Cost Margin'!$J20,P12*Settings!$B$3*IF('Cost Margin'!$D20="",1,'Cost Margin'!$D20)))</f>
        <v>0</v>
      </c>
      <c r="Q34" s="34">
        <f>IF(Q12=0,0,IF('Cost Margin'!$K20&lt;&gt;"",'Cost Margin'!$K20*Q12/'Cost Margin'!$J20,Q12*Settings!$B$3*IF('Cost Margin'!$D20="",1,'Cost Margin'!$D20)))</f>
        <v>0</v>
      </c>
      <c r="R34" s="34">
        <f>IF(R12=0,0,IF('Cost Margin'!$K20&lt;&gt;"",'Cost Margin'!$K20*R12/'Cost Margin'!$J20,R12*Settings!$B$3*IF('Cost Margin'!$D20="",1,'Cost Margin'!$D20)))</f>
        <v>0</v>
      </c>
      <c r="S34" s="34">
        <f>IF(S12=0,0,IF('Cost Margin'!$K20&lt;&gt;"",'Cost Margin'!$K20*S12/'Cost Margin'!$J20,S12*Settings!$B$3*IF('Cost Margin'!$D20="",1,'Cost Margin'!$D20)))</f>
        <v>0</v>
      </c>
      <c r="T34" s="34">
        <f>IF(T12=0,0,IF('Cost Margin'!$K20&lt;&gt;"",'Cost Margin'!$K20*T12/'Cost Margin'!$J20,T12*Settings!$B$3*IF('Cost Margin'!$D20="",1,'Cost Margin'!$D20)))</f>
        <v>0</v>
      </c>
      <c r="U34" s="34">
        <f>IF(U12=0,0,IF('Cost Margin'!$K20&lt;&gt;"",'Cost Margin'!$K20*U12/'Cost Margin'!$J20,U12*Settings!$B$3*IF('Cost Margin'!$D20="",1,'Cost Margin'!$D20)))</f>
        <v>0</v>
      </c>
      <c r="V34" s="34">
        <f>IF(V12=0,0,IF('Cost Margin'!$K20&lt;&gt;"",'Cost Margin'!$K20*V12/'Cost Margin'!$J20,V12*Settings!$B$3*IF('Cost Margin'!$D20="",1,'Cost Margin'!$D20)))</f>
        <v>0</v>
      </c>
      <c r="W34" s="34">
        <f>IF(W12=0,0,IF('Cost Margin'!$K20&lt;&gt;"",'Cost Margin'!$K20*W12/'Cost Margin'!$J20,W12*Settings!$B$3*IF('Cost Margin'!$D20="",1,'Cost Margin'!$D20)))</f>
        <v>0</v>
      </c>
      <c r="X34" s="34">
        <f>IF(X12=0,0,IF('Cost Margin'!$K20&lt;&gt;"",'Cost Margin'!$K20*X12/'Cost Margin'!$J20,X12*Settings!$B$3*IF('Cost Margin'!$D20="",1,'Cost Margin'!$D20)))</f>
        <v>0</v>
      </c>
      <c r="Y34" s="34">
        <f>IF(Y12=0,0,IF('Cost Margin'!$K20&lt;&gt;"",'Cost Margin'!$K20*Y12/'Cost Margin'!$J20,Y12*Settings!$B$3*IF('Cost Margin'!$D20="",1,'Cost Margin'!$D20)))</f>
        <v>0</v>
      </c>
      <c r="Z34" s="34">
        <f>IF(Z12=0,0,IF('Cost Margin'!$K20&lt;&gt;"",'Cost Margin'!$K20*Z12/'Cost Margin'!$J20,Z12*Settings!$B$3*IF('Cost Margin'!$D20="",1,'Cost Margin'!$D20)))</f>
        <v>0</v>
      </c>
    </row>
    <row r="35" spans="1:26" x14ac:dyDescent="0.2">
      <c r="A35">
        <v>5</v>
      </c>
      <c r="B35" s="33" t="str">
        <f>IF('Cost Margin'!A21="","",'Cost Margin'!A21)</f>
        <v/>
      </c>
      <c r="C35" s="34">
        <f>IF(C13=0,0,IF('Cost Margin'!$K21&lt;&gt;"",'Cost Margin'!$K21*C13/'Cost Margin'!$J21,C13*Settings!$B$3*IF('Cost Margin'!$D21="",1,'Cost Margin'!$D21)))</f>
        <v>0</v>
      </c>
      <c r="D35" s="34">
        <f>IF(D13=0,0,IF('Cost Margin'!$K21&lt;&gt;"",'Cost Margin'!$K21*D13/'Cost Margin'!$J21,D13*Settings!$B$3*IF('Cost Margin'!$D21="",1,'Cost Margin'!$D21)))</f>
        <v>0</v>
      </c>
      <c r="E35" s="34">
        <f>IF(E13=0,0,IF('Cost Margin'!$K21&lt;&gt;"",'Cost Margin'!$K21*E13/'Cost Margin'!$J21,E13*Settings!$B$3*IF('Cost Margin'!$D21="",1,'Cost Margin'!$D21)))</f>
        <v>0</v>
      </c>
      <c r="F35" s="34">
        <f>IF(F13=0,0,IF('Cost Margin'!$K21&lt;&gt;"",'Cost Margin'!$K21*F13/'Cost Margin'!$J21,F13*Settings!$B$3*IF('Cost Margin'!$D21="",1,'Cost Margin'!$D21)))</f>
        <v>0</v>
      </c>
      <c r="G35" s="34">
        <f>IF(G13=0,0,IF('Cost Margin'!$K21&lt;&gt;"",'Cost Margin'!$K21*G13/'Cost Margin'!$J21,G13*Settings!$B$3*IF('Cost Margin'!$D21="",1,'Cost Margin'!$D21)))</f>
        <v>0</v>
      </c>
      <c r="H35" s="34">
        <f>IF(H13=0,0,IF('Cost Margin'!$K21&lt;&gt;"",'Cost Margin'!$K21*H13/'Cost Margin'!$J21,H13*Settings!$B$3*IF('Cost Margin'!$D21="",1,'Cost Margin'!$D21)))</f>
        <v>0</v>
      </c>
      <c r="I35" s="34">
        <f>IF(I13=0,0,IF('Cost Margin'!$K21&lt;&gt;"",'Cost Margin'!$K21*I13/'Cost Margin'!$J21,I13*Settings!$B$3*IF('Cost Margin'!$D21="",1,'Cost Margin'!$D21)))</f>
        <v>0</v>
      </c>
      <c r="J35" s="34">
        <f>IF(J13=0,0,IF('Cost Margin'!$K21&lt;&gt;"",'Cost Margin'!$K21*J13/'Cost Margin'!$J21,J13*Settings!$B$3*IF('Cost Margin'!$D21="",1,'Cost Margin'!$D21)))</f>
        <v>0</v>
      </c>
      <c r="K35" s="34">
        <f>IF(K13=0,0,IF('Cost Margin'!$K21&lt;&gt;"",'Cost Margin'!$K21*K13/'Cost Margin'!$J21,K13*Settings!$B$3*IF('Cost Margin'!$D21="",1,'Cost Margin'!$D21)))</f>
        <v>0</v>
      </c>
      <c r="L35" s="34">
        <f>IF(L13=0,0,IF('Cost Margin'!$K21&lt;&gt;"",'Cost Margin'!$K21*L13/'Cost Margin'!$J21,L13*Settings!$B$3*IF('Cost Margin'!$D21="",1,'Cost Margin'!$D21)))</f>
        <v>0</v>
      </c>
      <c r="M35" s="34">
        <f>IF(M13=0,0,IF('Cost Margin'!$K21&lt;&gt;"",'Cost Margin'!$K21*M13/'Cost Margin'!$J21,M13*Settings!$B$3*IF('Cost Margin'!$D21="",1,'Cost Margin'!$D21)))</f>
        <v>0</v>
      </c>
      <c r="N35" s="34">
        <f>IF(N13=0,0,IF('Cost Margin'!$K21&lt;&gt;"",'Cost Margin'!$K21*N13/'Cost Margin'!$J21,N13*Settings!$B$3*IF('Cost Margin'!$D21="",1,'Cost Margin'!$D21)))</f>
        <v>0</v>
      </c>
      <c r="O35" s="34">
        <f>IF(O13=0,0,IF('Cost Margin'!$K21&lt;&gt;"",'Cost Margin'!$K21*O13/'Cost Margin'!$J21,O13*Settings!$B$3*IF('Cost Margin'!$D21="",1,'Cost Margin'!$D21)))</f>
        <v>0</v>
      </c>
      <c r="P35" s="34">
        <f>IF(P13=0,0,IF('Cost Margin'!$K21&lt;&gt;"",'Cost Margin'!$K21*P13/'Cost Margin'!$J21,P13*Settings!$B$3*IF('Cost Margin'!$D21="",1,'Cost Margin'!$D21)))</f>
        <v>0</v>
      </c>
      <c r="Q35" s="34">
        <f>IF(Q13=0,0,IF('Cost Margin'!$K21&lt;&gt;"",'Cost Margin'!$K21*Q13/'Cost Margin'!$J21,Q13*Settings!$B$3*IF('Cost Margin'!$D21="",1,'Cost Margin'!$D21)))</f>
        <v>0</v>
      </c>
      <c r="R35" s="34">
        <f>IF(R13=0,0,IF('Cost Margin'!$K21&lt;&gt;"",'Cost Margin'!$K21*R13/'Cost Margin'!$J21,R13*Settings!$B$3*IF('Cost Margin'!$D21="",1,'Cost Margin'!$D21)))</f>
        <v>0</v>
      </c>
      <c r="S35" s="34">
        <f>IF(S13=0,0,IF('Cost Margin'!$K21&lt;&gt;"",'Cost Margin'!$K21*S13/'Cost Margin'!$J21,S13*Settings!$B$3*IF('Cost Margin'!$D21="",1,'Cost Margin'!$D21)))</f>
        <v>0</v>
      </c>
      <c r="T35" s="34">
        <f>IF(T13=0,0,IF('Cost Margin'!$K21&lt;&gt;"",'Cost Margin'!$K21*T13/'Cost Margin'!$J21,T13*Settings!$B$3*IF('Cost Margin'!$D21="",1,'Cost Margin'!$D21)))</f>
        <v>0</v>
      </c>
      <c r="U35" s="34">
        <f>IF(U13=0,0,IF('Cost Margin'!$K21&lt;&gt;"",'Cost Margin'!$K21*U13/'Cost Margin'!$J21,U13*Settings!$B$3*IF('Cost Margin'!$D21="",1,'Cost Margin'!$D21)))</f>
        <v>0</v>
      </c>
      <c r="V35" s="34">
        <f>IF(V13=0,0,IF('Cost Margin'!$K21&lt;&gt;"",'Cost Margin'!$K21*V13/'Cost Margin'!$J21,V13*Settings!$B$3*IF('Cost Margin'!$D21="",1,'Cost Margin'!$D21)))</f>
        <v>0</v>
      </c>
      <c r="W35" s="34">
        <f>IF(W13=0,0,IF('Cost Margin'!$K21&lt;&gt;"",'Cost Margin'!$K21*W13/'Cost Margin'!$J21,W13*Settings!$B$3*IF('Cost Margin'!$D21="",1,'Cost Margin'!$D21)))</f>
        <v>0</v>
      </c>
      <c r="X35" s="34">
        <f>IF(X13=0,0,IF('Cost Margin'!$K21&lt;&gt;"",'Cost Margin'!$K21*X13/'Cost Margin'!$J21,X13*Settings!$B$3*IF('Cost Margin'!$D21="",1,'Cost Margin'!$D21)))</f>
        <v>0</v>
      </c>
      <c r="Y35" s="34">
        <f>IF(Y13=0,0,IF('Cost Margin'!$K21&lt;&gt;"",'Cost Margin'!$K21*Y13/'Cost Margin'!$J21,Y13*Settings!$B$3*IF('Cost Margin'!$D21="",1,'Cost Margin'!$D21)))</f>
        <v>0</v>
      </c>
      <c r="Z35" s="34">
        <f>IF(Z13=0,0,IF('Cost Margin'!$K21&lt;&gt;"",'Cost Margin'!$K21*Z13/'Cost Margin'!$J21,Z13*Settings!$B$3*IF('Cost Margin'!$D21="",1,'Cost Margin'!$D21)))</f>
        <v>0</v>
      </c>
    </row>
    <row r="36" spans="1:26" x14ac:dyDescent="0.2">
      <c r="A36">
        <v>6</v>
      </c>
      <c r="B36" s="33" t="str">
        <f>IF('Cost Margin'!A22="","",'Cost Margin'!A22)</f>
        <v/>
      </c>
      <c r="C36" s="34">
        <f>IF(C14=0,0,IF('Cost Margin'!$K22&lt;&gt;"",'Cost Margin'!$K22*C14/'Cost Margin'!$J22,C14*Settings!$B$3*IF('Cost Margin'!$D22="",1,'Cost Margin'!$D22)))</f>
        <v>0</v>
      </c>
      <c r="D36" s="34">
        <f>IF(D14=0,0,IF('Cost Margin'!$K22&lt;&gt;"",'Cost Margin'!$K22*D14/'Cost Margin'!$J22,D14*Settings!$B$3*IF('Cost Margin'!$D22="",1,'Cost Margin'!$D22)))</f>
        <v>0</v>
      </c>
      <c r="E36" s="34">
        <f>IF(E14=0,0,IF('Cost Margin'!$K22&lt;&gt;"",'Cost Margin'!$K22*E14/'Cost Margin'!$J22,E14*Settings!$B$3*IF('Cost Margin'!$D22="",1,'Cost Margin'!$D22)))</f>
        <v>0</v>
      </c>
      <c r="F36" s="34">
        <f>IF(F14=0,0,IF('Cost Margin'!$K22&lt;&gt;"",'Cost Margin'!$K22*F14/'Cost Margin'!$J22,F14*Settings!$B$3*IF('Cost Margin'!$D22="",1,'Cost Margin'!$D22)))</f>
        <v>0</v>
      </c>
      <c r="G36" s="34">
        <f>IF(G14=0,0,IF('Cost Margin'!$K22&lt;&gt;"",'Cost Margin'!$K22*G14/'Cost Margin'!$J22,G14*Settings!$B$3*IF('Cost Margin'!$D22="",1,'Cost Margin'!$D22)))</f>
        <v>0</v>
      </c>
      <c r="H36" s="34">
        <f>IF(H14=0,0,IF('Cost Margin'!$K22&lt;&gt;"",'Cost Margin'!$K22*H14/'Cost Margin'!$J22,H14*Settings!$B$3*IF('Cost Margin'!$D22="",1,'Cost Margin'!$D22)))</f>
        <v>0</v>
      </c>
      <c r="I36" s="34">
        <f>IF(I14=0,0,IF('Cost Margin'!$K22&lt;&gt;"",'Cost Margin'!$K22*I14/'Cost Margin'!$J22,I14*Settings!$B$3*IF('Cost Margin'!$D22="",1,'Cost Margin'!$D22)))</f>
        <v>0</v>
      </c>
      <c r="J36" s="34">
        <f>IF(J14=0,0,IF('Cost Margin'!$K22&lt;&gt;"",'Cost Margin'!$K22*J14/'Cost Margin'!$J22,J14*Settings!$B$3*IF('Cost Margin'!$D22="",1,'Cost Margin'!$D22)))</f>
        <v>0</v>
      </c>
      <c r="K36" s="34">
        <f>IF(K14=0,0,IF('Cost Margin'!$K22&lt;&gt;"",'Cost Margin'!$K22*K14/'Cost Margin'!$J22,K14*Settings!$B$3*IF('Cost Margin'!$D22="",1,'Cost Margin'!$D22)))</f>
        <v>0</v>
      </c>
      <c r="L36" s="34">
        <f>IF(L14=0,0,IF('Cost Margin'!$K22&lt;&gt;"",'Cost Margin'!$K22*L14/'Cost Margin'!$J22,L14*Settings!$B$3*IF('Cost Margin'!$D22="",1,'Cost Margin'!$D22)))</f>
        <v>0</v>
      </c>
      <c r="M36" s="34">
        <f>IF(M14=0,0,IF('Cost Margin'!$K22&lt;&gt;"",'Cost Margin'!$K22*M14/'Cost Margin'!$J22,M14*Settings!$B$3*IF('Cost Margin'!$D22="",1,'Cost Margin'!$D22)))</f>
        <v>0</v>
      </c>
      <c r="N36" s="34">
        <f>IF(N14=0,0,IF('Cost Margin'!$K22&lt;&gt;"",'Cost Margin'!$K22*N14/'Cost Margin'!$J22,N14*Settings!$B$3*IF('Cost Margin'!$D22="",1,'Cost Margin'!$D22)))</f>
        <v>0</v>
      </c>
      <c r="O36" s="34">
        <f>IF(O14=0,0,IF('Cost Margin'!$K22&lt;&gt;"",'Cost Margin'!$K22*O14/'Cost Margin'!$J22,O14*Settings!$B$3*IF('Cost Margin'!$D22="",1,'Cost Margin'!$D22)))</f>
        <v>0</v>
      </c>
      <c r="P36" s="34">
        <f>IF(P14=0,0,IF('Cost Margin'!$K22&lt;&gt;"",'Cost Margin'!$K22*P14/'Cost Margin'!$J22,P14*Settings!$B$3*IF('Cost Margin'!$D22="",1,'Cost Margin'!$D22)))</f>
        <v>0</v>
      </c>
      <c r="Q36" s="34">
        <f>IF(Q14=0,0,IF('Cost Margin'!$K22&lt;&gt;"",'Cost Margin'!$K22*Q14/'Cost Margin'!$J22,Q14*Settings!$B$3*IF('Cost Margin'!$D22="",1,'Cost Margin'!$D22)))</f>
        <v>0</v>
      </c>
      <c r="R36" s="34">
        <f>IF(R14=0,0,IF('Cost Margin'!$K22&lt;&gt;"",'Cost Margin'!$K22*R14/'Cost Margin'!$J22,R14*Settings!$B$3*IF('Cost Margin'!$D22="",1,'Cost Margin'!$D22)))</f>
        <v>0</v>
      </c>
      <c r="S36" s="34">
        <f>IF(S14=0,0,IF('Cost Margin'!$K22&lt;&gt;"",'Cost Margin'!$K22*S14/'Cost Margin'!$J22,S14*Settings!$B$3*IF('Cost Margin'!$D22="",1,'Cost Margin'!$D22)))</f>
        <v>0</v>
      </c>
      <c r="T36" s="34">
        <f>IF(T14=0,0,IF('Cost Margin'!$K22&lt;&gt;"",'Cost Margin'!$K22*T14/'Cost Margin'!$J22,T14*Settings!$B$3*IF('Cost Margin'!$D22="",1,'Cost Margin'!$D22)))</f>
        <v>0</v>
      </c>
      <c r="U36" s="34">
        <f>IF(U14=0,0,IF('Cost Margin'!$K22&lt;&gt;"",'Cost Margin'!$K22*U14/'Cost Margin'!$J22,U14*Settings!$B$3*IF('Cost Margin'!$D22="",1,'Cost Margin'!$D22)))</f>
        <v>0</v>
      </c>
      <c r="V36" s="34">
        <f>IF(V14=0,0,IF('Cost Margin'!$K22&lt;&gt;"",'Cost Margin'!$K22*V14/'Cost Margin'!$J22,V14*Settings!$B$3*IF('Cost Margin'!$D22="",1,'Cost Margin'!$D22)))</f>
        <v>0</v>
      </c>
      <c r="W36" s="34">
        <f>IF(W14=0,0,IF('Cost Margin'!$K22&lt;&gt;"",'Cost Margin'!$K22*W14/'Cost Margin'!$J22,W14*Settings!$B$3*IF('Cost Margin'!$D22="",1,'Cost Margin'!$D22)))</f>
        <v>0</v>
      </c>
      <c r="X36" s="34">
        <f>IF(X14=0,0,IF('Cost Margin'!$K22&lt;&gt;"",'Cost Margin'!$K22*X14/'Cost Margin'!$J22,X14*Settings!$B$3*IF('Cost Margin'!$D22="",1,'Cost Margin'!$D22)))</f>
        <v>0</v>
      </c>
      <c r="Y36" s="34">
        <f>IF(Y14=0,0,IF('Cost Margin'!$K22&lt;&gt;"",'Cost Margin'!$K22*Y14/'Cost Margin'!$J22,Y14*Settings!$B$3*IF('Cost Margin'!$D22="",1,'Cost Margin'!$D22)))</f>
        <v>0</v>
      </c>
      <c r="Z36" s="34">
        <f>IF(Z14=0,0,IF('Cost Margin'!$K22&lt;&gt;"",'Cost Margin'!$K22*Z14/'Cost Margin'!$J22,Z14*Settings!$B$3*IF('Cost Margin'!$D22="",1,'Cost Margin'!$D22)))</f>
        <v>0</v>
      </c>
    </row>
    <row r="37" spans="1:26" x14ac:dyDescent="0.2">
      <c r="A37">
        <v>7</v>
      </c>
      <c r="B37" s="33" t="str">
        <f>IF('Cost Margin'!A23="","",'Cost Margin'!A23)</f>
        <v/>
      </c>
      <c r="C37" s="34">
        <f>IF(C15=0,0,IF('Cost Margin'!$K23&lt;&gt;"",'Cost Margin'!$K23*C15/'Cost Margin'!$J23,C15*Settings!$B$3*IF('Cost Margin'!$D23="",1,'Cost Margin'!$D23)))</f>
        <v>0</v>
      </c>
      <c r="D37" s="34">
        <f>IF(D15=0,0,IF('Cost Margin'!$K23&lt;&gt;"",'Cost Margin'!$K23*D15/'Cost Margin'!$J23,D15*Settings!$B$3*IF('Cost Margin'!$D23="",1,'Cost Margin'!$D23)))</f>
        <v>0</v>
      </c>
      <c r="E37" s="34">
        <f>IF(E15=0,0,IF('Cost Margin'!$K23&lt;&gt;"",'Cost Margin'!$K23*E15/'Cost Margin'!$J23,E15*Settings!$B$3*IF('Cost Margin'!$D23="",1,'Cost Margin'!$D23)))</f>
        <v>0</v>
      </c>
      <c r="F37" s="34">
        <f>IF(F15=0,0,IF('Cost Margin'!$K23&lt;&gt;"",'Cost Margin'!$K23*F15/'Cost Margin'!$J23,F15*Settings!$B$3*IF('Cost Margin'!$D23="",1,'Cost Margin'!$D23)))</f>
        <v>0</v>
      </c>
      <c r="G37" s="34">
        <f>IF(G15=0,0,IF('Cost Margin'!$K23&lt;&gt;"",'Cost Margin'!$K23*G15/'Cost Margin'!$J23,G15*Settings!$B$3*IF('Cost Margin'!$D23="",1,'Cost Margin'!$D23)))</f>
        <v>0</v>
      </c>
      <c r="H37" s="34">
        <f>IF(H15=0,0,IF('Cost Margin'!$K23&lt;&gt;"",'Cost Margin'!$K23*H15/'Cost Margin'!$J23,H15*Settings!$B$3*IF('Cost Margin'!$D23="",1,'Cost Margin'!$D23)))</f>
        <v>0</v>
      </c>
      <c r="I37" s="34">
        <f>IF(I15=0,0,IF('Cost Margin'!$K23&lt;&gt;"",'Cost Margin'!$K23*I15/'Cost Margin'!$J23,I15*Settings!$B$3*IF('Cost Margin'!$D23="",1,'Cost Margin'!$D23)))</f>
        <v>0</v>
      </c>
      <c r="J37" s="34">
        <f>IF(J15=0,0,IF('Cost Margin'!$K23&lt;&gt;"",'Cost Margin'!$K23*J15/'Cost Margin'!$J23,J15*Settings!$B$3*IF('Cost Margin'!$D23="",1,'Cost Margin'!$D23)))</f>
        <v>0</v>
      </c>
      <c r="K37" s="34">
        <f>IF(K15=0,0,IF('Cost Margin'!$K23&lt;&gt;"",'Cost Margin'!$K23*K15/'Cost Margin'!$J23,K15*Settings!$B$3*IF('Cost Margin'!$D23="",1,'Cost Margin'!$D23)))</f>
        <v>0</v>
      </c>
      <c r="L37" s="34">
        <f>IF(L15=0,0,IF('Cost Margin'!$K23&lt;&gt;"",'Cost Margin'!$K23*L15/'Cost Margin'!$J23,L15*Settings!$B$3*IF('Cost Margin'!$D23="",1,'Cost Margin'!$D23)))</f>
        <v>0</v>
      </c>
      <c r="M37" s="34">
        <f>IF(M15=0,0,IF('Cost Margin'!$K23&lt;&gt;"",'Cost Margin'!$K23*M15/'Cost Margin'!$J23,M15*Settings!$B$3*IF('Cost Margin'!$D23="",1,'Cost Margin'!$D23)))</f>
        <v>0</v>
      </c>
      <c r="N37" s="34">
        <f>IF(N15=0,0,IF('Cost Margin'!$K23&lt;&gt;"",'Cost Margin'!$K23*N15/'Cost Margin'!$J23,N15*Settings!$B$3*IF('Cost Margin'!$D23="",1,'Cost Margin'!$D23)))</f>
        <v>0</v>
      </c>
      <c r="O37" s="34">
        <f>IF(O15=0,0,IF('Cost Margin'!$K23&lt;&gt;"",'Cost Margin'!$K23*O15/'Cost Margin'!$J23,O15*Settings!$B$3*IF('Cost Margin'!$D23="",1,'Cost Margin'!$D23)))</f>
        <v>0</v>
      </c>
      <c r="P37" s="34">
        <f>IF(P15=0,0,IF('Cost Margin'!$K23&lt;&gt;"",'Cost Margin'!$K23*P15/'Cost Margin'!$J23,P15*Settings!$B$3*IF('Cost Margin'!$D23="",1,'Cost Margin'!$D23)))</f>
        <v>0</v>
      </c>
      <c r="Q37" s="34">
        <f>IF(Q15=0,0,IF('Cost Margin'!$K23&lt;&gt;"",'Cost Margin'!$K23*Q15/'Cost Margin'!$J23,Q15*Settings!$B$3*IF('Cost Margin'!$D23="",1,'Cost Margin'!$D23)))</f>
        <v>0</v>
      </c>
      <c r="R37" s="34">
        <f>IF(R15=0,0,IF('Cost Margin'!$K23&lt;&gt;"",'Cost Margin'!$K23*R15/'Cost Margin'!$J23,R15*Settings!$B$3*IF('Cost Margin'!$D23="",1,'Cost Margin'!$D23)))</f>
        <v>0</v>
      </c>
      <c r="S37" s="34">
        <f>IF(S15=0,0,IF('Cost Margin'!$K23&lt;&gt;"",'Cost Margin'!$K23*S15/'Cost Margin'!$J23,S15*Settings!$B$3*IF('Cost Margin'!$D23="",1,'Cost Margin'!$D23)))</f>
        <v>0</v>
      </c>
      <c r="T37" s="34">
        <f>IF(T15=0,0,IF('Cost Margin'!$K23&lt;&gt;"",'Cost Margin'!$K23*T15/'Cost Margin'!$J23,T15*Settings!$B$3*IF('Cost Margin'!$D23="",1,'Cost Margin'!$D23)))</f>
        <v>0</v>
      </c>
      <c r="U37" s="34">
        <f>IF(U15=0,0,IF('Cost Margin'!$K23&lt;&gt;"",'Cost Margin'!$K23*U15/'Cost Margin'!$J23,U15*Settings!$B$3*IF('Cost Margin'!$D23="",1,'Cost Margin'!$D23)))</f>
        <v>0</v>
      </c>
      <c r="V37" s="34">
        <f>IF(V15=0,0,IF('Cost Margin'!$K23&lt;&gt;"",'Cost Margin'!$K23*V15/'Cost Margin'!$J23,V15*Settings!$B$3*IF('Cost Margin'!$D23="",1,'Cost Margin'!$D23)))</f>
        <v>0</v>
      </c>
      <c r="W37" s="34">
        <f>IF(W15=0,0,IF('Cost Margin'!$K23&lt;&gt;"",'Cost Margin'!$K23*W15/'Cost Margin'!$J23,W15*Settings!$B$3*IF('Cost Margin'!$D23="",1,'Cost Margin'!$D23)))</f>
        <v>0</v>
      </c>
      <c r="X37" s="34">
        <f>IF(X15=0,0,IF('Cost Margin'!$K23&lt;&gt;"",'Cost Margin'!$K23*X15/'Cost Margin'!$J23,X15*Settings!$B$3*IF('Cost Margin'!$D23="",1,'Cost Margin'!$D23)))</f>
        <v>0</v>
      </c>
      <c r="Y37" s="34">
        <f>IF(Y15=0,0,IF('Cost Margin'!$K23&lt;&gt;"",'Cost Margin'!$K23*Y15/'Cost Margin'!$J23,Y15*Settings!$B$3*IF('Cost Margin'!$D23="",1,'Cost Margin'!$D23)))</f>
        <v>0</v>
      </c>
      <c r="Z37" s="34">
        <f>IF(Z15=0,0,IF('Cost Margin'!$K23&lt;&gt;"",'Cost Margin'!$K23*Z15/'Cost Margin'!$J23,Z15*Settings!$B$3*IF('Cost Margin'!$D23="",1,'Cost Margin'!$D23)))</f>
        <v>0</v>
      </c>
    </row>
    <row r="38" spans="1:26" x14ac:dyDescent="0.2">
      <c r="A38">
        <v>8</v>
      </c>
      <c r="B38" s="33" t="str">
        <f>IF('Cost Margin'!A24="","",'Cost Margin'!A24)</f>
        <v/>
      </c>
      <c r="C38" s="34">
        <f>IF(C16=0,0,IF('Cost Margin'!$K24&lt;&gt;"",'Cost Margin'!$K24*C16/'Cost Margin'!$J24,C16*Settings!$B$3*IF('Cost Margin'!$D24="",1,'Cost Margin'!$D24)))</f>
        <v>0</v>
      </c>
      <c r="D38" s="34">
        <f>IF(D16=0,0,IF('Cost Margin'!$K24&lt;&gt;"",'Cost Margin'!$K24*D16/'Cost Margin'!$J24,D16*Settings!$B$3*IF('Cost Margin'!$D24="",1,'Cost Margin'!$D24)))</f>
        <v>0</v>
      </c>
      <c r="E38" s="34">
        <f>IF(E16=0,0,IF('Cost Margin'!$K24&lt;&gt;"",'Cost Margin'!$K24*E16/'Cost Margin'!$J24,E16*Settings!$B$3*IF('Cost Margin'!$D24="",1,'Cost Margin'!$D24)))</f>
        <v>0</v>
      </c>
      <c r="F38" s="34">
        <f>IF(F16=0,0,IF('Cost Margin'!$K24&lt;&gt;"",'Cost Margin'!$K24*F16/'Cost Margin'!$J24,F16*Settings!$B$3*IF('Cost Margin'!$D24="",1,'Cost Margin'!$D24)))</f>
        <v>0</v>
      </c>
      <c r="G38" s="34">
        <f>IF(G16=0,0,IF('Cost Margin'!$K24&lt;&gt;"",'Cost Margin'!$K24*G16/'Cost Margin'!$J24,G16*Settings!$B$3*IF('Cost Margin'!$D24="",1,'Cost Margin'!$D24)))</f>
        <v>0</v>
      </c>
      <c r="H38" s="34">
        <f>IF(H16=0,0,IF('Cost Margin'!$K24&lt;&gt;"",'Cost Margin'!$K24*H16/'Cost Margin'!$J24,H16*Settings!$B$3*IF('Cost Margin'!$D24="",1,'Cost Margin'!$D24)))</f>
        <v>0</v>
      </c>
      <c r="I38" s="34">
        <f>IF(I16=0,0,IF('Cost Margin'!$K24&lt;&gt;"",'Cost Margin'!$K24*I16/'Cost Margin'!$J24,I16*Settings!$B$3*IF('Cost Margin'!$D24="",1,'Cost Margin'!$D24)))</f>
        <v>0</v>
      </c>
      <c r="J38" s="34">
        <f>IF(J16=0,0,IF('Cost Margin'!$K24&lt;&gt;"",'Cost Margin'!$K24*J16/'Cost Margin'!$J24,J16*Settings!$B$3*IF('Cost Margin'!$D24="",1,'Cost Margin'!$D24)))</f>
        <v>0</v>
      </c>
      <c r="K38" s="34">
        <f>IF(K16=0,0,IF('Cost Margin'!$K24&lt;&gt;"",'Cost Margin'!$K24*K16/'Cost Margin'!$J24,K16*Settings!$B$3*IF('Cost Margin'!$D24="",1,'Cost Margin'!$D24)))</f>
        <v>0</v>
      </c>
      <c r="L38" s="34">
        <f>IF(L16=0,0,IF('Cost Margin'!$K24&lt;&gt;"",'Cost Margin'!$K24*L16/'Cost Margin'!$J24,L16*Settings!$B$3*IF('Cost Margin'!$D24="",1,'Cost Margin'!$D24)))</f>
        <v>0</v>
      </c>
      <c r="M38" s="34">
        <f>IF(M16=0,0,IF('Cost Margin'!$K24&lt;&gt;"",'Cost Margin'!$K24*M16/'Cost Margin'!$J24,M16*Settings!$B$3*IF('Cost Margin'!$D24="",1,'Cost Margin'!$D24)))</f>
        <v>0</v>
      </c>
      <c r="N38" s="34">
        <f>IF(N16=0,0,IF('Cost Margin'!$K24&lt;&gt;"",'Cost Margin'!$K24*N16/'Cost Margin'!$J24,N16*Settings!$B$3*IF('Cost Margin'!$D24="",1,'Cost Margin'!$D24)))</f>
        <v>0</v>
      </c>
      <c r="O38" s="34">
        <f>IF(O16=0,0,IF('Cost Margin'!$K24&lt;&gt;"",'Cost Margin'!$K24*O16/'Cost Margin'!$J24,O16*Settings!$B$3*IF('Cost Margin'!$D24="",1,'Cost Margin'!$D24)))</f>
        <v>0</v>
      </c>
      <c r="P38" s="34">
        <f>IF(P16=0,0,IF('Cost Margin'!$K24&lt;&gt;"",'Cost Margin'!$K24*P16/'Cost Margin'!$J24,P16*Settings!$B$3*IF('Cost Margin'!$D24="",1,'Cost Margin'!$D24)))</f>
        <v>0</v>
      </c>
      <c r="Q38" s="34">
        <f>IF(Q16=0,0,IF('Cost Margin'!$K24&lt;&gt;"",'Cost Margin'!$K24*Q16/'Cost Margin'!$J24,Q16*Settings!$B$3*IF('Cost Margin'!$D24="",1,'Cost Margin'!$D24)))</f>
        <v>0</v>
      </c>
      <c r="R38" s="34">
        <f>IF(R16=0,0,IF('Cost Margin'!$K24&lt;&gt;"",'Cost Margin'!$K24*R16/'Cost Margin'!$J24,R16*Settings!$B$3*IF('Cost Margin'!$D24="",1,'Cost Margin'!$D24)))</f>
        <v>0</v>
      </c>
      <c r="S38" s="34">
        <f>IF(S16=0,0,IF('Cost Margin'!$K24&lt;&gt;"",'Cost Margin'!$K24*S16/'Cost Margin'!$J24,S16*Settings!$B$3*IF('Cost Margin'!$D24="",1,'Cost Margin'!$D24)))</f>
        <v>0</v>
      </c>
      <c r="T38" s="34">
        <f>IF(T16=0,0,IF('Cost Margin'!$K24&lt;&gt;"",'Cost Margin'!$K24*T16/'Cost Margin'!$J24,T16*Settings!$B$3*IF('Cost Margin'!$D24="",1,'Cost Margin'!$D24)))</f>
        <v>0</v>
      </c>
      <c r="U38" s="34">
        <f>IF(U16=0,0,IF('Cost Margin'!$K24&lt;&gt;"",'Cost Margin'!$K24*U16/'Cost Margin'!$J24,U16*Settings!$B$3*IF('Cost Margin'!$D24="",1,'Cost Margin'!$D24)))</f>
        <v>0</v>
      </c>
      <c r="V38" s="34">
        <f>IF(V16=0,0,IF('Cost Margin'!$K24&lt;&gt;"",'Cost Margin'!$K24*V16/'Cost Margin'!$J24,V16*Settings!$B$3*IF('Cost Margin'!$D24="",1,'Cost Margin'!$D24)))</f>
        <v>0</v>
      </c>
      <c r="W38" s="34">
        <f>IF(W16=0,0,IF('Cost Margin'!$K24&lt;&gt;"",'Cost Margin'!$K24*W16/'Cost Margin'!$J24,W16*Settings!$B$3*IF('Cost Margin'!$D24="",1,'Cost Margin'!$D24)))</f>
        <v>0</v>
      </c>
      <c r="X38" s="34">
        <f>IF(X16=0,0,IF('Cost Margin'!$K24&lt;&gt;"",'Cost Margin'!$K24*X16/'Cost Margin'!$J24,X16*Settings!$B$3*IF('Cost Margin'!$D24="",1,'Cost Margin'!$D24)))</f>
        <v>0</v>
      </c>
      <c r="Y38" s="34">
        <f>IF(Y16=0,0,IF('Cost Margin'!$K24&lt;&gt;"",'Cost Margin'!$K24*Y16/'Cost Margin'!$J24,Y16*Settings!$B$3*IF('Cost Margin'!$D24="",1,'Cost Margin'!$D24)))</f>
        <v>0</v>
      </c>
      <c r="Z38" s="34">
        <f>IF(Z16=0,0,IF('Cost Margin'!$K24&lt;&gt;"",'Cost Margin'!$K24*Z16/'Cost Margin'!$J24,Z16*Settings!$B$3*IF('Cost Margin'!$D24="",1,'Cost Margin'!$D24)))</f>
        <v>0</v>
      </c>
    </row>
    <row r="39" spans="1:26" x14ac:dyDescent="0.2">
      <c r="A39">
        <v>9</v>
      </c>
      <c r="B39" s="33" t="str">
        <f>IF('Cost Margin'!A25="","",'Cost Margin'!A25)</f>
        <v/>
      </c>
      <c r="C39" s="34">
        <f>IF(C17=0,0,IF('Cost Margin'!$K25&lt;&gt;"",'Cost Margin'!$K25*C17/'Cost Margin'!$J25,C17*Settings!$B$3*IF('Cost Margin'!$D25="",1,'Cost Margin'!$D25)))</f>
        <v>0</v>
      </c>
      <c r="D39" s="34">
        <f>IF(D17=0,0,IF('Cost Margin'!$K25&lt;&gt;"",'Cost Margin'!$K25*D17/'Cost Margin'!$J25,D17*Settings!$B$3*IF('Cost Margin'!$D25="",1,'Cost Margin'!$D25)))</f>
        <v>0</v>
      </c>
      <c r="E39" s="34">
        <f>IF(E17=0,0,IF('Cost Margin'!$K25&lt;&gt;"",'Cost Margin'!$K25*E17/'Cost Margin'!$J25,E17*Settings!$B$3*IF('Cost Margin'!$D25="",1,'Cost Margin'!$D25)))</f>
        <v>0</v>
      </c>
      <c r="F39" s="34">
        <f>IF(F17=0,0,IF('Cost Margin'!$K25&lt;&gt;"",'Cost Margin'!$K25*F17/'Cost Margin'!$J25,F17*Settings!$B$3*IF('Cost Margin'!$D25="",1,'Cost Margin'!$D25)))</f>
        <v>0</v>
      </c>
      <c r="G39" s="34">
        <f>IF(G17=0,0,IF('Cost Margin'!$K25&lt;&gt;"",'Cost Margin'!$K25*G17/'Cost Margin'!$J25,G17*Settings!$B$3*IF('Cost Margin'!$D25="",1,'Cost Margin'!$D25)))</f>
        <v>0</v>
      </c>
      <c r="H39" s="34">
        <f>IF(H17=0,0,IF('Cost Margin'!$K25&lt;&gt;"",'Cost Margin'!$K25*H17/'Cost Margin'!$J25,H17*Settings!$B$3*IF('Cost Margin'!$D25="",1,'Cost Margin'!$D25)))</f>
        <v>0</v>
      </c>
      <c r="I39" s="34">
        <f>IF(I17=0,0,IF('Cost Margin'!$K25&lt;&gt;"",'Cost Margin'!$K25*I17/'Cost Margin'!$J25,I17*Settings!$B$3*IF('Cost Margin'!$D25="",1,'Cost Margin'!$D25)))</f>
        <v>0</v>
      </c>
      <c r="J39" s="34">
        <f>IF(J17=0,0,IF('Cost Margin'!$K25&lt;&gt;"",'Cost Margin'!$K25*J17/'Cost Margin'!$J25,J17*Settings!$B$3*IF('Cost Margin'!$D25="",1,'Cost Margin'!$D25)))</f>
        <v>0</v>
      </c>
      <c r="K39" s="34">
        <f>IF(K17=0,0,IF('Cost Margin'!$K25&lt;&gt;"",'Cost Margin'!$K25*K17/'Cost Margin'!$J25,K17*Settings!$B$3*IF('Cost Margin'!$D25="",1,'Cost Margin'!$D25)))</f>
        <v>0</v>
      </c>
      <c r="L39" s="34">
        <f>IF(L17=0,0,IF('Cost Margin'!$K25&lt;&gt;"",'Cost Margin'!$K25*L17/'Cost Margin'!$J25,L17*Settings!$B$3*IF('Cost Margin'!$D25="",1,'Cost Margin'!$D25)))</f>
        <v>0</v>
      </c>
      <c r="M39" s="34">
        <f>IF(M17=0,0,IF('Cost Margin'!$K25&lt;&gt;"",'Cost Margin'!$K25*M17/'Cost Margin'!$J25,M17*Settings!$B$3*IF('Cost Margin'!$D25="",1,'Cost Margin'!$D25)))</f>
        <v>0</v>
      </c>
      <c r="N39" s="34">
        <f>IF(N17=0,0,IF('Cost Margin'!$K25&lt;&gt;"",'Cost Margin'!$K25*N17/'Cost Margin'!$J25,N17*Settings!$B$3*IF('Cost Margin'!$D25="",1,'Cost Margin'!$D25)))</f>
        <v>0</v>
      </c>
      <c r="O39" s="34">
        <f>IF(O17=0,0,IF('Cost Margin'!$K25&lt;&gt;"",'Cost Margin'!$K25*O17/'Cost Margin'!$J25,O17*Settings!$B$3*IF('Cost Margin'!$D25="",1,'Cost Margin'!$D25)))</f>
        <v>0</v>
      </c>
      <c r="P39" s="34">
        <f>IF(P17=0,0,IF('Cost Margin'!$K25&lt;&gt;"",'Cost Margin'!$K25*P17/'Cost Margin'!$J25,P17*Settings!$B$3*IF('Cost Margin'!$D25="",1,'Cost Margin'!$D25)))</f>
        <v>0</v>
      </c>
      <c r="Q39" s="34">
        <f>IF(Q17=0,0,IF('Cost Margin'!$K25&lt;&gt;"",'Cost Margin'!$K25*Q17/'Cost Margin'!$J25,Q17*Settings!$B$3*IF('Cost Margin'!$D25="",1,'Cost Margin'!$D25)))</f>
        <v>0</v>
      </c>
      <c r="R39" s="34">
        <f>IF(R17=0,0,IF('Cost Margin'!$K25&lt;&gt;"",'Cost Margin'!$K25*R17/'Cost Margin'!$J25,R17*Settings!$B$3*IF('Cost Margin'!$D25="",1,'Cost Margin'!$D25)))</f>
        <v>0</v>
      </c>
      <c r="S39" s="34">
        <f>IF(S17=0,0,IF('Cost Margin'!$K25&lt;&gt;"",'Cost Margin'!$K25*S17/'Cost Margin'!$J25,S17*Settings!$B$3*IF('Cost Margin'!$D25="",1,'Cost Margin'!$D25)))</f>
        <v>0</v>
      </c>
      <c r="T39" s="34">
        <f>IF(T17=0,0,IF('Cost Margin'!$K25&lt;&gt;"",'Cost Margin'!$K25*T17/'Cost Margin'!$J25,T17*Settings!$B$3*IF('Cost Margin'!$D25="",1,'Cost Margin'!$D25)))</f>
        <v>0</v>
      </c>
      <c r="U39" s="34">
        <f>IF(U17=0,0,IF('Cost Margin'!$K25&lt;&gt;"",'Cost Margin'!$K25*U17/'Cost Margin'!$J25,U17*Settings!$B$3*IF('Cost Margin'!$D25="",1,'Cost Margin'!$D25)))</f>
        <v>0</v>
      </c>
      <c r="V39" s="34">
        <f>IF(V17=0,0,IF('Cost Margin'!$K25&lt;&gt;"",'Cost Margin'!$K25*V17/'Cost Margin'!$J25,V17*Settings!$B$3*IF('Cost Margin'!$D25="",1,'Cost Margin'!$D25)))</f>
        <v>0</v>
      </c>
      <c r="W39" s="34">
        <f>IF(W17=0,0,IF('Cost Margin'!$K25&lt;&gt;"",'Cost Margin'!$K25*W17/'Cost Margin'!$J25,W17*Settings!$B$3*IF('Cost Margin'!$D25="",1,'Cost Margin'!$D25)))</f>
        <v>0</v>
      </c>
      <c r="X39" s="34">
        <f>IF(X17=0,0,IF('Cost Margin'!$K25&lt;&gt;"",'Cost Margin'!$K25*X17/'Cost Margin'!$J25,X17*Settings!$B$3*IF('Cost Margin'!$D25="",1,'Cost Margin'!$D25)))</f>
        <v>0</v>
      </c>
      <c r="Y39" s="34">
        <f>IF(Y17=0,0,IF('Cost Margin'!$K25&lt;&gt;"",'Cost Margin'!$K25*Y17/'Cost Margin'!$J25,Y17*Settings!$B$3*IF('Cost Margin'!$D25="",1,'Cost Margin'!$D25)))</f>
        <v>0</v>
      </c>
      <c r="Z39" s="34">
        <f>IF(Z17=0,0,IF('Cost Margin'!$K25&lt;&gt;"",'Cost Margin'!$K25*Z17/'Cost Margin'!$J25,Z17*Settings!$B$3*IF('Cost Margin'!$D25="",1,'Cost Margin'!$D25)))</f>
        <v>0</v>
      </c>
    </row>
    <row r="40" spans="1:26" x14ac:dyDescent="0.2">
      <c r="A40">
        <v>10</v>
      </c>
      <c r="B40" s="33" t="str">
        <f>IF('Cost Margin'!A26="","",'Cost Margin'!A26)</f>
        <v/>
      </c>
      <c r="C40" s="34">
        <f>IF(C18=0,0,IF('Cost Margin'!$K26&lt;&gt;"",'Cost Margin'!$K26*C18/'Cost Margin'!$J26,C18*Settings!$B$3*IF('Cost Margin'!$D26="",1,'Cost Margin'!$D26)))</f>
        <v>0</v>
      </c>
      <c r="D40" s="34">
        <f>IF(D18=0,0,IF('Cost Margin'!$K26&lt;&gt;"",'Cost Margin'!$K26*D18/'Cost Margin'!$J26,D18*Settings!$B$3*IF('Cost Margin'!$D26="",1,'Cost Margin'!$D26)))</f>
        <v>0</v>
      </c>
      <c r="E40" s="34">
        <f>IF(E18=0,0,IF('Cost Margin'!$K26&lt;&gt;"",'Cost Margin'!$K26*E18/'Cost Margin'!$J26,E18*Settings!$B$3*IF('Cost Margin'!$D26="",1,'Cost Margin'!$D26)))</f>
        <v>0</v>
      </c>
      <c r="F40" s="34">
        <f>IF(F18=0,0,IF('Cost Margin'!$K26&lt;&gt;"",'Cost Margin'!$K26*F18/'Cost Margin'!$J26,F18*Settings!$B$3*IF('Cost Margin'!$D26="",1,'Cost Margin'!$D26)))</f>
        <v>0</v>
      </c>
      <c r="G40" s="34">
        <f>IF(G18=0,0,IF('Cost Margin'!$K26&lt;&gt;"",'Cost Margin'!$K26*G18/'Cost Margin'!$J26,G18*Settings!$B$3*IF('Cost Margin'!$D26="",1,'Cost Margin'!$D26)))</f>
        <v>0</v>
      </c>
      <c r="H40" s="34">
        <f>IF(H18=0,0,IF('Cost Margin'!$K26&lt;&gt;"",'Cost Margin'!$K26*H18/'Cost Margin'!$J26,H18*Settings!$B$3*IF('Cost Margin'!$D26="",1,'Cost Margin'!$D26)))</f>
        <v>0</v>
      </c>
      <c r="I40" s="34">
        <f>IF(I18=0,0,IF('Cost Margin'!$K26&lt;&gt;"",'Cost Margin'!$K26*I18/'Cost Margin'!$J26,I18*Settings!$B$3*IF('Cost Margin'!$D26="",1,'Cost Margin'!$D26)))</f>
        <v>0</v>
      </c>
      <c r="J40" s="34">
        <f>IF(J18=0,0,IF('Cost Margin'!$K26&lt;&gt;"",'Cost Margin'!$K26*J18/'Cost Margin'!$J26,J18*Settings!$B$3*IF('Cost Margin'!$D26="",1,'Cost Margin'!$D26)))</f>
        <v>0</v>
      </c>
      <c r="K40" s="34">
        <f>IF(K18=0,0,IF('Cost Margin'!$K26&lt;&gt;"",'Cost Margin'!$K26*K18/'Cost Margin'!$J26,K18*Settings!$B$3*IF('Cost Margin'!$D26="",1,'Cost Margin'!$D26)))</f>
        <v>0</v>
      </c>
      <c r="L40" s="34">
        <f>IF(L18=0,0,IF('Cost Margin'!$K26&lt;&gt;"",'Cost Margin'!$K26*L18/'Cost Margin'!$J26,L18*Settings!$B$3*IF('Cost Margin'!$D26="",1,'Cost Margin'!$D26)))</f>
        <v>0</v>
      </c>
      <c r="M40" s="34">
        <f>IF(M18=0,0,IF('Cost Margin'!$K26&lt;&gt;"",'Cost Margin'!$K26*M18/'Cost Margin'!$J26,M18*Settings!$B$3*IF('Cost Margin'!$D26="",1,'Cost Margin'!$D26)))</f>
        <v>0</v>
      </c>
      <c r="N40" s="34">
        <f>IF(N18=0,0,IF('Cost Margin'!$K26&lt;&gt;"",'Cost Margin'!$K26*N18/'Cost Margin'!$J26,N18*Settings!$B$3*IF('Cost Margin'!$D26="",1,'Cost Margin'!$D26)))</f>
        <v>0</v>
      </c>
      <c r="O40" s="34">
        <f>IF(O18=0,0,IF('Cost Margin'!$K26&lt;&gt;"",'Cost Margin'!$K26*O18/'Cost Margin'!$J26,O18*Settings!$B$3*IF('Cost Margin'!$D26="",1,'Cost Margin'!$D26)))</f>
        <v>0</v>
      </c>
      <c r="P40" s="34">
        <f>IF(P18=0,0,IF('Cost Margin'!$K26&lt;&gt;"",'Cost Margin'!$K26*P18/'Cost Margin'!$J26,P18*Settings!$B$3*IF('Cost Margin'!$D26="",1,'Cost Margin'!$D26)))</f>
        <v>0</v>
      </c>
      <c r="Q40" s="34">
        <f>IF(Q18=0,0,IF('Cost Margin'!$K26&lt;&gt;"",'Cost Margin'!$K26*Q18/'Cost Margin'!$J26,Q18*Settings!$B$3*IF('Cost Margin'!$D26="",1,'Cost Margin'!$D26)))</f>
        <v>0</v>
      </c>
      <c r="R40" s="34">
        <f>IF(R18=0,0,IF('Cost Margin'!$K26&lt;&gt;"",'Cost Margin'!$K26*R18/'Cost Margin'!$J26,R18*Settings!$B$3*IF('Cost Margin'!$D26="",1,'Cost Margin'!$D26)))</f>
        <v>0</v>
      </c>
      <c r="S40" s="34">
        <f>IF(S18=0,0,IF('Cost Margin'!$K26&lt;&gt;"",'Cost Margin'!$K26*S18/'Cost Margin'!$J26,S18*Settings!$B$3*IF('Cost Margin'!$D26="",1,'Cost Margin'!$D26)))</f>
        <v>0</v>
      </c>
      <c r="T40" s="34">
        <f>IF(T18=0,0,IF('Cost Margin'!$K26&lt;&gt;"",'Cost Margin'!$K26*T18/'Cost Margin'!$J26,T18*Settings!$B$3*IF('Cost Margin'!$D26="",1,'Cost Margin'!$D26)))</f>
        <v>0</v>
      </c>
      <c r="U40" s="34">
        <f>IF(U18=0,0,IF('Cost Margin'!$K26&lt;&gt;"",'Cost Margin'!$K26*U18/'Cost Margin'!$J26,U18*Settings!$B$3*IF('Cost Margin'!$D26="",1,'Cost Margin'!$D26)))</f>
        <v>0</v>
      </c>
      <c r="V40" s="34">
        <f>IF(V18=0,0,IF('Cost Margin'!$K26&lt;&gt;"",'Cost Margin'!$K26*V18/'Cost Margin'!$J26,V18*Settings!$B$3*IF('Cost Margin'!$D26="",1,'Cost Margin'!$D26)))</f>
        <v>0</v>
      </c>
      <c r="W40" s="34">
        <f>IF(W18=0,0,IF('Cost Margin'!$K26&lt;&gt;"",'Cost Margin'!$K26*W18/'Cost Margin'!$J26,W18*Settings!$B$3*IF('Cost Margin'!$D26="",1,'Cost Margin'!$D26)))</f>
        <v>0</v>
      </c>
      <c r="X40" s="34">
        <f>IF(X18=0,0,IF('Cost Margin'!$K26&lt;&gt;"",'Cost Margin'!$K26*X18/'Cost Margin'!$J26,X18*Settings!$B$3*IF('Cost Margin'!$D26="",1,'Cost Margin'!$D26)))</f>
        <v>0</v>
      </c>
      <c r="Y40" s="34">
        <f>IF(Y18=0,0,IF('Cost Margin'!$K26&lt;&gt;"",'Cost Margin'!$K26*Y18/'Cost Margin'!$J26,Y18*Settings!$B$3*IF('Cost Margin'!$D26="",1,'Cost Margin'!$D26)))</f>
        <v>0</v>
      </c>
      <c r="Z40" s="34">
        <f>IF(Z18=0,0,IF('Cost Margin'!$K26&lt;&gt;"",'Cost Margin'!$K26*Z18/'Cost Margin'!$J26,Z18*Settings!$B$3*IF('Cost Margin'!$D26="",1,'Cost Margin'!$D26)))</f>
        <v>0</v>
      </c>
    </row>
    <row r="41" spans="1:26" x14ac:dyDescent="0.2">
      <c r="A41">
        <v>11</v>
      </c>
      <c r="B41" s="33" t="str">
        <f>IF('Cost Margin'!A27="","",'Cost Margin'!A27)</f>
        <v/>
      </c>
      <c r="C41" s="34">
        <f>IF(C19=0,0,IF('Cost Margin'!$K27&lt;&gt;"",'Cost Margin'!$K27*C19/'Cost Margin'!$J27,C19*Settings!$B$3*IF('Cost Margin'!$D27="",1,'Cost Margin'!$D27)))</f>
        <v>0</v>
      </c>
      <c r="D41" s="34">
        <f>IF(D19=0,0,IF('Cost Margin'!$K27&lt;&gt;"",'Cost Margin'!$K27*D19/'Cost Margin'!$J27,D19*Settings!$B$3*IF('Cost Margin'!$D27="",1,'Cost Margin'!$D27)))</f>
        <v>0</v>
      </c>
      <c r="E41" s="34">
        <f>IF(E19=0,0,IF('Cost Margin'!$K27&lt;&gt;"",'Cost Margin'!$K27*E19/'Cost Margin'!$J27,E19*Settings!$B$3*IF('Cost Margin'!$D27="",1,'Cost Margin'!$D27)))</f>
        <v>0</v>
      </c>
      <c r="F41" s="34">
        <f>IF(F19=0,0,IF('Cost Margin'!$K27&lt;&gt;"",'Cost Margin'!$K27*F19/'Cost Margin'!$J27,F19*Settings!$B$3*IF('Cost Margin'!$D27="",1,'Cost Margin'!$D27)))</f>
        <v>0</v>
      </c>
      <c r="G41" s="34">
        <f>IF(G19=0,0,IF('Cost Margin'!$K27&lt;&gt;"",'Cost Margin'!$K27*G19/'Cost Margin'!$J27,G19*Settings!$B$3*IF('Cost Margin'!$D27="",1,'Cost Margin'!$D27)))</f>
        <v>0</v>
      </c>
      <c r="H41" s="34">
        <f>IF(H19=0,0,IF('Cost Margin'!$K27&lt;&gt;"",'Cost Margin'!$K27*H19/'Cost Margin'!$J27,H19*Settings!$B$3*IF('Cost Margin'!$D27="",1,'Cost Margin'!$D27)))</f>
        <v>0</v>
      </c>
      <c r="I41" s="34">
        <f>IF(I19=0,0,IF('Cost Margin'!$K27&lt;&gt;"",'Cost Margin'!$K27*I19/'Cost Margin'!$J27,I19*Settings!$B$3*IF('Cost Margin'!$D27="",1,'Cost Margin'!$D27)))</f>
        <v>0</v>
      </c>
      <c r="J41" s="34">
        <f>IF(J19=0,0,IF('Cost Margin'!$K27&lt;&gt;"",'Cost Margin'!$K27*J19/'Cost Margin'!$J27,J19*Settings!$B$3*IF('Cost Margin'!$D27="",1,'Cost Margin'!$D27)))</f>
        <v>0</v>
      </c>
      <c r="K41" s="34">
        <f>IF(K19=0,0,IF('Cost Margin'!$K27&lt;&gt;"",'Cost Margin'!$K27*K19/'Cost Margin'!$J27,K19*Settings!$B$3*IF('Cost Margin'!$D27="",1,'Cost Margin'!$D27)))</f>
        <v>0</v>
      </c>
      <c r="L41" s="34">
        <f>IF(L19=0,0,IF('Cost Margin'!$K27&lt;&gt;"",'Cost Margin'!$K27*L19/'Cost Margin'!$J27,L19*Settings!$B$3*IF('Cost Margin'!$D27="",1,'Cost Margin'!$D27)))</f>
        <v>0</v>
      </c>
      <c r="M41" s="34">
        <f>IF(M19=0,0,IF('Cost Margin'!$K27&lt;&gt;"",'Cost Margin'!$K27*M19/'Cost Margin'!$J27,M19*Settings!$B$3*IF('Cost Margin'!$D27="",1,'Cost Margin'!$D27)))</f>
        <v>0</v>
      </c>
      <c r="N41" s="34">
        <f>IF(N19=0,0,IF('Cost Margin'!$K27&lt;&gt;"",'Cost Margin'!$K27*N19/'Cost Margin'!$J27,N19*Settings!$B$3*IF('Cost Margin'!$D27="",1,'Cost Margin'!$D27)))</f>
        <v>0</v>
      </c>
      <c r="O41" s="34">
        <f>IF(O19=0,0,IF('Cost Margin'!$K27&lt;&gt;"",'Cost Margin'!$K27*O19/'Cost Margin'!$J27,O19*Settings!$B$3*IF('Cost Margin'!$D27="",1,'Cost Margin'!$D27)))</f>
        <v>0</v>
      </c>
      <c r="P41" s="34">
        <f>IF(P19=0,0,IF('Cost Margin'!$K27&lt;&gt;"",'Cost Margin'!$K27*P19/'Cost Margin'!$J27,P19*Settings!$B$3*IF('Cost Margin'!$D27="",1,'Cost Margin'!$D27)))</f>
        <v>0</v>
      </c>
      <c r="Q41" s="34">
        <f>IF(Q19=0,0,IF('Cost Margin'!$K27&lt;&gt;"",'Cost Margin'!$K27*Q19/'Cost Margin'!$J27,Q19*Settings!$B$3*IF('Cost Margin'!$D27="",1,'Cost Margin'!$D27)))</f>
        <v>0</v>
      </c>
      <c r="R41" s="34">
        <f>IF(R19=0,0,IF('Cost Margin'!$K27&lt;&gt;"",'Cost Margin'!$K27*R19/'Cost Margin'!$J27,R19*Settings!$B$3*IF('Cost Margin'!$D27="",1,'Cost Margin'!$D27)))</f>
        <v>0</v>
      </c>
      <c r="S41" s="34">
        <f>IF(S19=0,0,IF('Cost Margin'!$K27&lt;&gt;"",'Cost Margin'!$K27*S19/'Cost Margin'!$J27,S19*Settings!$B$3*IF('Cost Margin'!$D27="",1,'Cost Margin'!$D27)))</f>
        <v>0</v>
      </c>
      <c r="T41" s="34">
        <f>IF(T19=0,0,IF('Cost Margin'!$K27&lt;&gt;"",'Cost Margin'!$K27*T19/'Cost Margin'!$J27,T19*Settings!$B$3*IF('Cost Margin'!$D27="",1,'Cost Margin'!$D27)))</f>
        <v>0</v>
      </c>
      <c r="U41" s="34">
        <f>IF(U19=0,0,IF('Cost Margin'!$K27&lt;&gt;"",'Cost Margin'!$K27*U19/'Cost Margin'!$J27,U19*Settings!$B$3*IF('Cost Margin'!$D27="",1,'Cost Margin'!$D27)))</f>
        <v>0</v>
      </c>
      <c r="V41" s="34">
        <f>IF(V19=0,0,IF('Cost Margin'!$K27&lt;&gt;"",'Cost Margin'!$K27*V19/'Cost Margin'!$J27,V19*Settings!$B$3*IF('Cost Margin'!$D27="",1,'Cost Margin'!$D27)))</f>
        <v>0</v>
      </c>
      <c r="W41" s="34">
        <f>IF(W19=0,0,IF('Cost Margin'!$K27&lt;&gt;"",'Cost Margin'!$K27*W19/'Cost Margin'!$J27,W19*Settings!$B$3*IF('Cost Margin'!$D27="",1,'Cost Margin'!$D27)))</f>
        <v>0</v>
      </c>
      <c r="X41" s="34">
        <f>IF(X19=0,0,IF('Cost Margin'!$K27&lt;&gt;"",'Cost Margin'!$K27*X19/'Cost Margin'!$J27,X19*Settings!$B$3*IF('Cost Margin'!$D27="",1,'Cost Margin'!$D27)))</f>
        <v>0</v>
      </c>
      <c r="Y41" s="34">
        <f>IF(Y19=0,0,IF('Cost Margin'!$K27&lt;&gt;"",'Cost Margin'!$K27*Y19/'Cost Margin'!$J27,Y19*Settings!$B$3*IF('Cost Margin'!$D27="",1,'Cost Margin'!$D27)))</f>
        <v>0</v>
      </c>
      <c r="Z41" s="34">
        <f>IF(Z19=0,0,IF('Cost Margin'!$K27&lt;&gt;"",'Cost Margin'!$K27*Z19/'Cost Margin'!$J27,Z19*Settings!$B$3*IF('Cost Margin'!$D27="",1,'Cost Margin'!$D27)))</f>
        <v>0</v>
      </c>
    </row>
    <row r="42" spans="1:26" x14ac:dyDescent="0.2">
      <c r="A42">
        <v>12</v>
      </c>
      <c r="B42" s="33" t="str">
        <f>IF('Cost Margin'!A28="","",'Cost Margin'!A28)</f>
        <v/>
      </c>
      <c r="C42" s="34">
        <f>IF(C20=0,0,IF('Cost Margin'!$K28&lt;&gt;"",'Cost Margin'!$K28*C20/'Cost Margin'!$J28,C20*Settings!$B$3*IF('Cost Margin'!$D28="",1,'Cost Margin'!$D28)))</f>
        <v>0</v>
      </c>
      <c r="D42" s="34">
        <f>IF(D20=0,0,IF('Cost Margin'!$K28&lt;&gt;"",'Cost Margin'!$K28*D20/'Cost Margin'!$J28,D20*Settings!$B$3*IF('Cost Margin'!$D28="",1,'Cost Margin'!$D28)))</f>
        <v>0</v>
      </c>
      <c r="E42" s="34">
        <f>IF(E20=0,0,IF('Cost Margin'!$K28&lt;&gt;"",'Cost Margin'!$K28*E20/'Cost Margin'!$J28,E20*Settings!$B$3*IF('Cost Margin'!$D28="",1,'Cost Margin'!$D28)))</f>
        <v>0</v>
      </c>
      <c r="F42" s="34">
        <f>IF(F20=0,0,IF('Cost Margin'!$K28&lt;&gt;"",'Cost Margin'!$K28*F20/'Cost Margin'!$J28,F20*Settings!$B$3*IF('Cost Margin'!$D28="",1,'Cost Margin'!$D28)))</f>
        <v>0</v>
      </c>
      <c r="G42" s="34">
        <f>IF(G20=0,0,IF('Cost Margin'!$K28&lt;&gt;"",'Cost Margin'!$K28*G20/'Cost Margin'!$J28,G20*Settings!$B$3*IF('Cost Margin'!$D28="",1,'Cost Margin'!$D28)))</f>
        <v>0</v>
      </c>
      <c r="H42" s="34">
        <f>IF(H20=0,0,IF('Cost Margin'!$K28&lt;&gt;"",'Cost Margin'!$K28*H20/'Cost Margin'!$J28,H20*Settings!$B$3*IF('Cost Margin'!$D28="",1,'Cost Margin'!$D28)))</f>
        <v>0</v>
      </c>
      <c r="I42" s="34">
        <f>IF(I20=0,0,IF('Cost Margin'!$K28&lt;&gt;"",'Cost Margin'!$K28*I20/'Cost Margin'!$J28,I20*Settings!$B$3*IF('Cost Margin'!$D28="",1,'Cost Margin'!$D28)))</f>
        <v>0</v>
      </c>
      <c r="J42" s="34">
        <f>IF(J20=0,0,IF('Cost Margin'!$K28&lt;&gt;"",'Cost Margin'!$K28*J20/'Cost Margin'!$J28,J20*Settings!$B$3*IF('Cost Margin'!$D28="",1,'Cost Margin'!$D28)))</f>
        <v>0</v>
      </c>
      <c r="K42" s="34">
        <f>IF(K20=0,0,IF('Cost Margin'!$K28&lt;&gt;"",'Cost Margin'!$K28*K20/'Cost Margin'!$J28,K20*Settings!$B$3*IF('Cost Margin'!$D28="",1,'Cost Margin'!$D28)))</f>
        <v>0</v>
      </c>
      <c r="L42" s="34">
        <f>IF(L20=0,0,IF('Cost Margin'!$K28&lt;&gt;"",'Cost Margin'!$K28*L20/'Cost Margin'!$J28,L20*Settings!$B$3*IF('Cost Margin'!$D28="",1,'Cost Margin'!$D28)))</f>
        <v>0</v>
      </c>
      <c r="M42" s="34">
        <f>IF(M20=0,0,IF('Cost Margin'!$K28&lt;&gt;"",'Cost Margin'!$K28*M20/'Cost Margin'!$J28,M20*Settings!$B$3*IF('Cost Margin'!$D28="",1,'Cost Margin'!$D28)))</f>
        <v>0</v>
      </c>
      <c r="N42" s="34">
        <f>IF(N20=0,0,IF('Cost Margin'!$K28&lt;&gt;"",'Cost Margin'!$K28*N20/'Cost Margin'!$J28,N20*Settings!$B$3*IF('Cost Margin'!$D28="",1,'Cost Margin'!$D28)))</f>
        <v>0</v>
      </c>
      <c r="O42" s="34">
        <f>IF(O20=0,0,IF('Cost Margin'!$K28&lt;&gt;"",'Cost Margin'!$K28*O20/'Cost Margin'!$J28,O20*Settings!$B$3*IF('Cost Margin'!$D28="",1,'Cost Margin'!$D28)))</f>
        <v>0</v>
      </c>
      <c r="P42" s="34">
        <f>IF(P20=0,0,IF('Cost Margin'!$K28&lt;&gt;"",'Cost Margin'!$K28*P20/'Cost Margin'!$J28,P20*Settings!$B$3*IF('Cost Margin'!$D28="",1,'Cost Margin'!$D28)))</f>
        <v>0</v>
      </c>
      <c r="Q42" s="34">
        <f>IF(Q20=0,0,IF('Cost Margin'!$K28&lt;&gt;"",'Cost Margin'!$K28*Q20/'Cost Margin'!$J28,Q20*Settings!$B$3*IF('Cost Margin'!$D28="",1,'Cost Margin'!$D28)))</f>
        <v>0</v>
      </c>
      <c r="R42" s="34">
        <f>IF(R20=0,0,IF('Cost Margin'!$K28&lt;&gt;"",'Cost Margin'!$K28*R20/'Cost Margin'!$J28,R20*Settings!$B$3*IF('Cost Margin'!$D28="",1,'Cost Margin'!$D28)))</f>
        <v>0</v>
      </c>
      <c r="S42" s="34">
        <f>IF(S20=0,0,IF('Cost Margin'!$K28&lt;&gt;"",'Cost Margin'!$K28*S20/'Cost Margin'!$J28,S20*Settings!$B$3*IF('Cost Margin'!$D28="",1,'Cost Margin'!$D28)))</f>
        <v>0</v>
      </c>
      <c r="T42" s="34">
        <f>IF(T20=0,0,IF('Cost Margin'!$K28&lt;&gt;"",'Cost Margin'!$K28*T20/'Cost Margin'!$J28,T20*Settings!$B$3*IF('Cost Margin'!$D28="",1,'Cost Margin'!$D28)))</f>
        <v>0</v>
      </c>
      <c r="U42" s="34">
        <f>IF(U20=0,0,IF('Cost Margin'!$K28&lt;&gt;"",'Cost Margin'!$K28*U20/'Cost Margin'!$J28,U20*Settings!$B$3*IF('Cost Margin'!$D28="",1,'Cost Margin'!$D28)))</f>
        <v>0</v>
      </c>
      <c r="V42" s="34">
        <f>IF(V20=0,0,IF('Cost Margin'!$K28&lt;&gt;"",'Cost Margin'!$K28*V20/'Cost Margin'!$J28,V20*Settings!$B$3*IF('Cost Margin'!$D28="",1,'Cost Margin'!$D28)))</f>
        <v>0</v>
      </c>
      <c r="W42" s="34">
        <f>IF(W20=0,0,IF('Cost Margin'!$K28&lt;&gt;"",'Cost Margin'!$K28*W20/'Cost Margin'!$J28,W20*Settings!$B$3*IF('Cost Margin'!$D28="",1,'Cost Margin'!$D28)))</f>
        <v>0</v>
      </c>
      <c r="X42" s="34">
        <f>IF(X20=0,0,IF('Cost Margin'!$K28&lt;&gt;"",'Cost Margin'!$K28*X20/'Cost Margin'!$J28,X20*Settings!$B$3*IF('Cost Margin'!$D28="",1,'Cost Margin'!$D28)))</f>
        <v>0</v>
      </c>
      <c r="Y42" s="34">
        <f>IF(Y20=0,0,IF('Cost Margin'!$K28&lt;&gt;"",'Cost Margin'!$K28*Y20/'Cost Margin'!$J28,Y20*Settings!$B$3*IF('Cost Margin'!$D28="",1,'Cost Margin'!$D28)))</f>
        <v>0</v>
      </c>
      <c r="Z42" s="34">
        <f>IF(Z20=0,0,IF('Cost Margin'!$K28&lt;&gt;"",'Cost Margin'!$K28*Z20/'Cost Margin'!$J28,Z20*Settings!$B$3*IF('Cost Margin'!$D28="",1,'Cost Margin'!$D28)))</f>
        <v>0</v>
      </c>
    </row>
    <row r="43" spans="1:26" x14ac:dyDescent="0.2">
      <c r="A43">
        <v>13</v>
      </c>
      <c r="B43" s="33" t="str">
        <f>IF('Cost Margin'!A29="","",'Cost Margin'!A29)</f>
        <v/>
      </c>
      <c r="C43" s="34">
        <f>IF(C21=0,0,IF('Cost Margin'!$K29&lt;&gt;"",'Cost Margin'!$K29*C21/'Cost Margin'!$J29,C21*Settings!$B$3*IF('Cost Margin'!$D29="",1,'Cost Margin'!$D29)))</f>
        <v>0</v>
      </c>
      <c r="D43" s="34">
        <f>IF(D21=0,0,IF('Cost Margin'!$K29&lt;&gt;"",'Cost Margin'!$K29*D21/'Cost Margin'!$J29,D21*Settings!$B$3*IF('Cost Margin'!$D29="",1,'Cost Margin'!$D29)))</f>
        <v>0</v>
      </c>
      <c r="E43" s="34">
        <f>IF(E21=0,0,IF('Cost Margin'!$K29&lt;&gt;"",'Cost Margin'!$K29*E21/'Cost Margin'!$J29,E21*Settings!$B$3*IF('Cost Margin'!$D29="",1,'Cost Margin'!$D29)))</f>
        <v>0</v>
      </c>
      <c r="F43" s="34">
        <f>IF(F21=0,0,IF('Cost Margin'!$K29&lt;&gt;"",'Cost Margin'!$K29*F21/'Cost Margin'!$J29,F21*Settings!$B$3*IF('Cost Margin'!$D29="",1,'Cost Margin'!$D29)))</f>
        <v>0</v>
      </c>
      <c r="G43" s="34">
        <f>IF(G21=0,0,IF('Cost Margin'!$K29&lt;&gt;"",'Cost Margin'!$K29*G21/'Cost Margin'!$J29,G21*Settings!$B$3*IF('Cost Margin'!$D29="",1,'Cost Margin'!$D29)))</f>
        <v>0</v>
      </c>
      <c r="H43" s="34">
        <f>IF(H21=0,0,IF('Cost Margin'!$K29&lt;&gt;"",'Cost Margin'!$K29*H21/'Cost Margin'!$J29,H21*Settings!$B$3*IF('Cost Margin'!$D29="",1,'Cost Margin'!$D29)))</f>
        <v>0</v>
      </c>
      <c r="I43" s="34">
        <f>IF(I21=0,0,IF('Cost Margin'!$K29&lt;&gt;"",'Cost Margin'!$K29*I21/'Cost Margin'!$J29,I21*Settings!$B$3*IF('Cost Margin'!$D29="",1,'Cost Margin'!$D29)))</f>
        <v>0</v>
      </c>
      <c r="J43" s="34">
        <f>IF(J21=0,0,IF('Cost Margin'!$K29&lt;&gt;"",'Cost Margin'!$K29*J21/'Cost Margin'!$J29,J21*Settings!$B$3*IF('Cost Margin'!$D29="",1,'Cost Margin'!$D29)))</f>
        <v>0</v>
      </c>
      <c r="K43" s="34">
        <f>IF(K21=0,0,IF('Cost Margin'!$K29&lt;&gt;"",'Cost Margin'!$K29*K21/'Cost Margin'!$J29,K21*Settings!$B$3*IF('Cost Margin'!$D29="",1,'Cost Margin'!$D29)))</f>
        <v>0</v>
      </c>
      <c r="L43" s="34">
        <f>IF(L21=0,0,IF('Cost Margin'!$K29&lt;&gt;"",'Cost Margin'!$K29*L21/'Cost Margin'!$J29,L21*Settings!$B$3*IF('Cost Margin'!$D29="",1,'Cost Margin'!$D29)))</f>
        <v>0</v>
      </c>
      <c r="M43" s="34">
        <f>IF(M21=0,0,IF('Cost Margin'!$K29&lt;&gt;"",'Cost Margin'!$K29*M21/'Cost Margin'!$J29,M21*Settings!$B$3*IF('Cost Margin'!$D29="",1,'Cost Margin'!$D29)))</f>
        <v>0</v>
      </c>
      <c r="N43" s="34">
        <f>IF(N21=0,0,IF('Cost Margin'!$K29&lt;&gt;"",'Cost Margin'!$K29*N21/'Cost Margin'!$J29,N21*Settings!$B$3*IF('Cost Margin'!$D29="",1,'Cost Margin'!$D29)))</f>
        <v>0</v>
      </c>
      <c r="O43" s="34">
        <f>IF(O21=0,0,IF('Cost Margin'!$K29&lt;&gt;"",'Cost Margin'!$K29*O21/'Cost Margin'!$J29,O21*Settings!$B$3*IF('Cost Margin'!$D29="",1,'Cost Margin'!$D29)))</f>
        <v>0</v>
      </c>
      <c r="P43" s="34">
        <f>IF(P21=0,0,IF('Cost Margin'!$K29&lt;&gt;"",'Cost Margin'!$K29*P21/'Cost Margin'!$J29,P21*Settings!$B$3*IF('Cost Margin'!$D29="",1,'Cost Margin'!$D29)))</f>
        <v>0</v>
      </c>
      <c r="Q43" s="34">
        <f>IF(Q21=0,0,IF('Cost Margin'!$K29&lt;&gt;"",'Cost Margin'!$K29*Q21/'Cost Margin'!$J29,Q21*Settings!$B$3*IF('Cost Margin'!$D29="",1,'Cost Margin'!$D29)))</f>
        <v>0</v>
      </c>
      <c r="R43" s="34">
        <f>IF(R21=0,0,IF('Cost Margin'!$K29&lt;&gt;"",'Cost Margin'!$K29*R21/'Cost Margin'!$J29,R21*Settings!$B$3*IF('Cost Margin'!$D29="",1,'Cost Margin'!$D29)))</f>
        <v>0</v>
      </c>
      <c r="S43" s="34">
        <f>IF(S21=0,0,IF('Cost Margin'!$K29&lt;&gt;"",'Cost Margin'!$K29*S21/'Cost Margin'!$J29,S21*Settings!$B$3*IF('Cost Margin'!$D29="",1,'Cost Margin'!$D29)))</f>
        <v>0</v>
      </c>
      <c r="T43" s="34">
        <f>IF(T21=0,0,IF('Cost Margin'!$K29&lt;&gt;"",'Cost Margin'!$K29*T21/'Cost Margin'!$J29,T21*Settings!$B$3*IF('Cost Margin'!$D29="",1,'Cost Margin'!$D29)))</f>
        <v>0</v>
      </c>
      <c r="U43" s="34">
        <f>IF(U21=0,0,IF('Cost Margin'!$K29&lt;&gt;"",'Cost Margin'!$K29*U21/'Cost Margin'!$J29,U21*Settings!$B$3*IF('Cost Margin'!$D29="",1,'Cost Margin'!$D29)))</f>
        <v>0</v>
      </c>
      <c r="V43" s="34">
        <f>IF(V21=0,0,IF('Cost Margin'!$K29&lt;&gt;"",'Cost Margin'!$K29*V21/'Cost Margin'!$J29,V21*Settings!$B$3*IF('Cost Margin'!$D29="",1,'Cost Margin'!$D29)))</f>
        <v>0</v>
      </c>
      <c r="W43" s="34">
        <f>IF(W21=0,0,IF('Cost Margin'!$K29&lt;&gt;"",'Cost Margin'!$K29*W21/'Cost Margin'!$J29,W21*Settings!$B$3*IF('Cost Margin'!$D29="",1,'Cost Margin'!$D29)))</f>
        <v>0</v>
      </c>
      <c r="X43" s="34">
        <f>IF(X21=0,0,IF('Cost Margin'!$K29&lt;&gt;"",'Cost Margin'!$K29*X21/'Cost Margin'!$J29,X21*Settings!$B$3*IF('Cost Margin'!$D29="",1,'Cost Margin'!$D29)))</f>
        <v>0</v>
      </c>
      <c r="Y43" s="34">
        <f>IF(Y21=0,0,IF('Cost Margin'!$K29&lt;&gt;"",'Cost Margin'!$K29*Y21/'Cost Margin'!$J29,Y21*Settings!$B$3*IF('Cost Margin'!$D29="",1,'Cost Margin'!$D29)))</f>
        <v>0</v>
      </c>
      <c r="Z43" s="34">
        <f>IF(Z21=0,0,IF('Cost Margin'!$K29&lt;&gt;"",'Cost Margin'!$K29*Z21/'Cost Margin'!$J29,Z21*Settings!$B$3*IF('Cost Margin'!$D29="",1,'Cost Margin'!$D29)))</f>
        <v>0</v>
      </c>
    </row>
    <row r="44" spans="1:26" x14ac:dyDescent="0.2">
      <c r="A44">
        <v>14</v>
      </c>
      <c r="B44" s="33" t="str">
        <f>IF('Cost Margin'!A30="","",'Cost Margin'!A30)</f>
        <v/>
      </c>
      <c r="C44" s="34">
        <f>IF(C22=0,0,IF('Cost Margin'!$K30&lt;&gt;"",'Cost Margin'!$K30*C22/'Cost Margin'!$J30,C22*Settings!$B$3*IF('Cost Margin'!$D30="",1,'Cost Margin'!$D30)))</f>
        <v>0</v>
      </c>
      <c r="D44" s="34">
        <f>IF(D22=0,0,IF('Cost Margin'!$K30&lt;&gt;"",'Cost Margin'!$K30*D22/'Cost Margin'!$J30,D22*Settings!$B$3*IF('Cost Margin'!$D30="",1,'Cost Margin'!$D30)))</f>
        <v>0</v>
      </c>
      <c r="E44" s="34">
        <f>IF(E22=0,0,IF('Cost Margin'!$K30&lt;&gt;"",'Cost Margin'!$K30*E22/'Cost Margin'!$J30,E22*Settings!$B$3*IF('Cost Margin'!$D30="",1,'Cost Margin'!$D30)))</f>
        <v>0</v>
      </c>
      <c r="F44" s="34">
        <f>IF(F22=0,0,IF('Cost Margin'!$K30&lt;&gt;"",'Cost Margin'!$K30*F22/'Cost Margin'!$J30,F22*Settings!$B$3*IF('Cost Margin'!$D30="",1,'Cost Margin'!$D30)))</f>
        <v>0</v>
      </c>
      <c r="G44" s="34">
        <f>IF(G22=0,0,IF('Cost Margin'!$K30&lt;&gt;"",'Cost Margin'!$K30*G22/'Cost Margin'!$J30,G22*Settings!$B$3*IF('Cost Margin'!$D30="",1,'Cost Margin'!$D30)))</f>
        <v>0</v>
      </c>
      <c r="H44" s="34">
        <f>IF(H22=0,0,IF('Cost Margin'!$K30&lt;&gt;"",'Cost Margin'!$K30*H22/'Cost Margin'!$J30,H22*Settings!$B$3*IF('Cost Margin'!$D30="",1,'Cost Margin'!$D30)))</f>
        <v>0</v>
      </c>
      <c r="I44" s="34">
        <f>IF(I22=0,0,IF('Cost Margin'!$K30&lt;&gt;"",'Cost Margin'!$K30*I22/'Cost Margin'!$J30,I22*Settings!$B$3*IF('Cost Margin'!$D30="",1,'Cost Margin'!$D30)))</f>
        <v>0</v>
      </c>
      <c r="J44" s="34">
        <f>IF(J22=0,0,IF('Cost Margin'!$K30&lt;&gt;"",'Cost Margin'!$K30*J22/'Cost Margin'!$J30,J22*Settings!$B$3*IF('Cost Margin'!$D30="",1,'Cost Margin'!$D30)))</f>
        <v>0</v>
      </c>
      <c r="K44" s="34">
        <f>IF(K22=0,0,IF('Cost Margin'!$K30&lt;&gt;"",'Cost Margin'!$K30*K22/'Cost Margin'!$J30,K22*Settings!$B$3*IF('Cost Margin'!$D30="",1,'Cost Margin'!$D30)))</f>
        <v>0</v>
      </c>
      <c r="L44" s="34">
        <f>IF(L22=0,0,IF('Cost Margin'!$K30&lt;&gt;"",'Cost Margin'!$K30*L22/'Cost Margin'!$J30,L22*Settings!$B$3*IF('Cost Margin'!$D30="",1,'Cost Margin'!$D30)))</f>
        <v>0</v>
      </c>
      <c r="M44" s="34">
        <f>IF(M22=0,0,IF('Cost Margin'!$K30&lt;&gt;"",'Cost Margin'!$K30*M22/'Cost Margin'!$J30,M22*Settings!$B$3*IF('Cost Margin'!$D30="",1,'Cost Margin'!$D30)))</f>
        <v>0</v>
      </c>
      <c r="N44" s="34">
        <f>IF(N22=0,0,IF('Cost Margin'!$K30&lt;&gt;"",'Cost Margin'!$K30*N22/'Cost Margin'!$J30,N22*Settings!$B$3*IF('Cost Margin'!$D30="",1,'Cost Margin'!$D30)))</f>
        <v>0</v>
      </c>
      <c r="O44" s="34">
        <f>IF(O22=0,0,IF('Cost Margin'!$K30&lt;&gt;"",'Cost Margin'!$K30*O22/'Cost Margin'!$J30,O22*Settings!$B$3*IF('Cost Margin'!$D30="",1,'Cost Margin'!$D30)))</f>
        <v>0</v>
      </c>
      <c r="P44" s="34">
        <f>IF(P22=0,0,IF('Cost Margin'!$K30&lt;&gt;"",'Cost Margin'!$K30*P22/'Cost Margin'!$J30,P22*Settings!$B$3*IF('Cost Margin'!$D30="",1,'Cost Margin'!$D30)))</f>
        <v>0</v>
      </c>
      <c r="Q44" s="34">
        <f>IF(Q22=0,0,IF('Cost Margin'!$K30&lt;&gt;"",'Cost Margin'!$K30*Q22/'Cost Margin'!$J30,Q22*Settings!$B$3*IF('Cost Margin'!$D30="",1,'Cost Margin'!$D30)))</f>
        <v>0</v>
      </c>
      <c r="R44" s="34">
        <f>IF(R22=0,0,IF('Cost Margin'!$K30&lt;&gt;"",'Cost Margin'!$K30*R22/'Cost Margin'!$J30,R22*Settings!$B$3*IF('Cost Margin'!$D30="",1,'Cost Margin'!$D30)))</f>
        <v>0</v>
      </c>
      <c r="S44" s="34">
        <f>IF(S22=0,0,IF('Cost Margin'!$K30&lt;&gt;"",'Cost Margin'!$K30*S22/'Cost Margin'!$J30,S22*Settings!$B$3*IF('Cost Margin'!$D30="",1,'Cost Margin'!$D30)))</f>
        <v>0</v>
      </c>
      <c r="T44" s="34">
        <f>IF(T22=0,0,IF('Cost Margin'!$K30&lt;&gt;"",'Cost Margin'!$K30*T22/'Cost Margin'!$J30,T22*Settings!$B$3*IF('Cost Margin'!$D30="",1,'Cost Margin'!$D30)))</f>
        <v>0</v>
      </c>
      <c r="U44" s="34">
        <f>IF(U22=0,0,IF('Cost Margin'!$K30&lt;&gt;"",'Cost Margin'!$K30*U22/'Cost Margin'!$J30,U22*Settings!$B$3*IF('Cost Margin'!$D30="",1,'Cost Margin'!$D30)))</f>
        <v>0</v>
      </c>
      <c r="V44" s="34">
        <f>IF(V22=0,0,IF('Cost Margin'!$K30&lt;&gt;"",'Cost Margin'!$K30*V22/'Cost Margin'!$J30,V22*Settings!$B$3*IF('Cost Margin'!$D30="",1,'Cost Margin'!$D30)))</f>
        <v>0</v>
      </c>
      <c r="W44" s="34">
        <f>IF(W22=0,0,IF('Cost Margin'!$K30&lt;&gt;"",'Cost Margin'!$K30*W22/'Cost Margin'!$J30,W22*Settings!$B$3*IF('Cost Margin'!$D30="",1,'Cost Margin'!$D30)))</f>
        <v>0</v>
      </c>
      <c r="X44" s="34">
        <f>IF(X22=0,0,IF('Cost Margin'!$K30&lt;&gt;"",'Cost Margin'!$K30*X22/'Cost Margin'!$J30,X22*Settings!$B$3*IF('Cost Margin'!$D30="",1,'Cost Margin'!$D30)))</f>
        <v>0</v>
      </c>
      <c r="Y44" s="34">
        <f>IF(Y22=0,0,IF('Cost Margin'!$K30&lt;&gt;"",'Cost Margin'!$K30*Y22/'Cost Margin'!$J30,Y22*Settings!$B$3*IF('Cost Margin'!$D30="",1,'Cost Margin'!$D30)))</f>
        <v>0</v>
      </c>
      <c r="Z44" s="34">
        <f>IF(Z22=0,0,IF('Cost Margin'!$K30&lt;&gt;"",'Cost Margin'!$K30*Z22/'Cost Margin'!$J30,Z22*Settings!$B$3*IF('Cost Margin'!$D30="",1,'Cost Margin'!$D30)))</f>
        <v>0</v>
      </c>
    </row>
    <row r="45" spans="1:26" x14ac:dyDescent="0.2">
      <c r="A45">
        <v>15</v>
      </c>
      <c r="B45" s="33" t="str">
        <f>IF('Cost Margin'!A31="","",'Cost Margin'!A31)</f>
        <v/>
      </c>
      <c r="C45" s="34">
        <f>IF(C23=0,0,IF('Cost Margin'!$K31&lt;&gt;"",'Cost Margin'!$K31*C23/'Cost Margin'!$J31,C23*Settings!$B$3*IF('Cost Margin'!$D31="",1,'Cost Margin'!$D31)))</f>
        <v>0</v>
      </c>
      <c r="D45" s="34">
        <f>IF(D23=0,0,IF('Cost Margin'!$K31&lt;&gt;"",'Cost Margin'!$K31*D23/'Cost Margin'!$J31,D23*Settings!$B$3*IF('Cost Margin'!$D31="",1,'Cost Margin'!$D31)))</f>
        <v>0</v>
      </c>
      <c r="E45" s="34">
        <f>IF(E23=0,0,IF('Cost Margin'!$K31&lt;&gt;"",'Cost Margin'!$K31*E23/'Cost Margin'!$J31,E23*Settings!$B$3*IF('Cost Margin'!$D31="",1,'Cost Margin'!$D31)))</f>
        <v>0</v>
      </c>
      <c r="F45" s="34">
        <f>IF(F23=0,0,IF('Cost Margin'!$K31&lt;&gt;"",'Cost Margin'!$K31*F23/'Cost Margin'!$J31,F23*Settings!$B$3*IF('Cost Margin'!$D31="",1,'Cost Margin'!$D31)))</f>
        <v>0</v>
      </c>
      <c r="G45" s="34">
        <f>IF(G23=0,0,IF('Cost Margin'!$K31&lt;&gt;"",'Cost Margin'!$K31*G23/'Cost Margin'!$J31,G23*Settings!$B$3*IF('Cost Margin'!$D31="",1,'Cost Margin'!$D31)))</f>
        <v>0</v>
      </c>
      <c r="H45" s="34">
        <f>IF(H23=0,0,IF('Cost Margin'!$K31&lt;&gt;"",'Cost Margin'!$K31*H23/'Cost Margin'!$J31,H23*Settings!$B$3*IF('Cost Margin'!$D31="",1,'Cost Margin'!$D31)))</f>
        <v>0</v>
      </c>
      <c r="I45" s="34">
        <f>IF(I23=0,0,IF('Cost Margin'!$K31&lt;&gt;"",'Cost Margin'!$K31*I23/'Cost Margin'!$J31,I23*Settings!$B$3*IF('Cost Margin'!$D31="",1,'Cost Margin'!$D31)))</f>
        <v>0</v>
      </c>
      <c r="J45" s="34">
        <f>IF(J23=0,0,IF('Cost Margin'!$K31&lt;&gt;"",'Cost Margin'!$K31*J23/'Cost Margin'!$J31,J23*Settings!$B$3*IF('Cost Margin'!$D31="",1,'Cost Margin'!$D31)))</f>
        <v>0</v>
      </c>
      <c r="K45" s="34">
        <f>IF(K23=0,0,IF('Cost Margin'!$K31&lt;&gt;"",'Cost Margin'!$K31*K23/'Cost Margin'!$J31,K23*Settings!$B$3*IF('Cost Margin'!$D31="",1,'Cost Margin'!$D31)))</f>
        <v>0</v>
      </c>
      <c r="L45" s="34">
        <f>IF(L23=0,0,IF('Cost Margin'!$K31&lt;&gt;"",'Cost Margin'!$K31*L23/'Cost Margin'!$J31,L23*Settings!$B$3*IF('Cost Margin'!$D31="",1,'Cost Margin'!$D31)))</f>
        <v>0</v>
      </c>
      <c r="M45" s="34">
        <f>IF(M23=0,0,IF('Cost Margin'!$K31&lt;&gt;"",'Cost Margin'!$K31*M23/'Cost Margin'!$J31,M23*Settings!$B$3*IF('Cost Margin'!$D31="",1,'Cost Margin'!$D31)))</f>
        <v>0</v>
      </c>
      <c r="N45" s="34">
        <f>IF(N23=0,0,IF('Cost Margin'!$K31&lt;&gt;"",'Cost Margin'!$K31*N23/'Cost Margin'!$J31,N23*Settings!$B$3*IF('Cost Margin'!$D31="",1,'Cost Margin'!$D31)))</f>
        <v>0</v>
      </c>
      <c r="O45" s="34">
        <f>IF(O23=0,0,IF('Cost Margin'!$K31&lt;&gt;"",'Cost Margin'!$K31*O23/'Cost Margin'!$J31,O23*Settings!$B$3*IF('Cost Margin'!$D31="",1,'Cost Margin'!$D31)))</f>
        <v>0</v>
      </c>
      <c r="P45" s="34">
        <f>IF(P23=0,0,IF('Cost Margin'!$K31&lt;&gt;"",'Cost Margin'!$K31*P23/'Cost Margin'!$J31,P23*Settings!$B$3*IF('Cost Margin'!$D31="",1,'Cost Margin'!$D31)))</f>
        <v>0</v>
      </c>
      <c r="Q45" s="34">
        <f>IF(Q23=0,0,IF('Cost Margin'!$K31&lt;&gt;"",'Cost Margin'!$K31*Q23/'Cost Margin'!$J31,Q23*Settings!$B$3*IF('Cost Margin'!$D31="",1,'Cost Margin'!$D31)))</f>
        <v>0</v>
      </c>
      <c r="R45" s="34">
        <f>IF(R23=0,0,IF('Cost Margin'!$K31&lt;&gt;"",'Cost Margin'!$K31*R23/'Cost Margin'!$J31,R23*Settings!$B$3*IF('Cost Margin'!$D31="",1,'Cost Margin'!$D31)))</f>
        <v>0</v>
      </c>
      <c r="S45" s="34">
        <f>IF(S23=0,0,IF('Cost Margin'!$K31&lt;&gt;"",'Cost Margin'!$K31*S23/'Cost Margin'!$J31,S23*Settings!$B$3*IF('Cost Margin'!$D31="",1,'Cost Margin'!$D31)))</f>
        <v>0</v>
      </c>
      <c r="T45" s="34">
        <f>IF(T23=0,0,IF('Cost Margin'!$K31&lt;&gt;"",'Cost Margin'!$K31*T23/'Cost Margin'!$J31,T23*Settings!$B$3*IF('Cost Margin'!$D31="",1,'Cost Margin'!$D31)))</f>
        <v>0</v>
      </c>
      <c r="U45" s="34">
        <f>IF(U23=0,0,IF('Cost Margin'!$K31&lt;&gt;"",'Cost Margin'!$K31*U23/'Cost Margin'!$J31,U23*Settings!$B$3*IF('Cost Margin'!$D31="",1,'Cost Margin'!$D31)))</f>
        <v>0</v>
      </c>
      <c r="V45" s="34">
        <f>IF(V23=0,0,IF('Cost Margin'!$K31&lt;&gt;"",'Cost Margin'!$K31*V23/'Cost Margin'!$J31,V23*Settings!$B$3*IF('Cost Margin'!$D31="",1,'Cost Margin'!$D31)))</f>
        <v>0</v>
      </c>
      <c r="W45" s="34">
        <f>IF(W23=0,0,IF('Cost Margin'!$K31&lt;&gt;"",'Cost Margin'!$K31*W23/'Cost Margin'!$J31,W23*Settings!$B$3*IF('Cost Margin'!$D31="",1,'Cost Margin'!$D31)))</f>
        <v>0</v>
      </c>
      <c r="X45" s="34">
        <f>IF(X23=0,0,IF('Cost Margin'!$K31&lt;&gt;"",'Cost Margin'!$K31*X23/'Cost Margin'!$J31,X23*Settings!$B$3*IF('Cost Margin'!$D31="",1,'Cost Margin'!$D31)))</f>
        <v>0</v>
      </c>
      <c r="Y45" s="34">
        <f>IF(Y23=0,0,IF('Cost Margin'!$K31&lt;&gt;"",'Cost Margin'!$K31*Y23/'Cost Margin'!$J31,Y23*Settings!$B$3*IF('Cost Margin'!$D31="",1,'Cost Margin'!$D31)))</f>
        <v>0</v>
      </c>
      <c r="Z45" s="34">
        <f>IF(Z23=0,0,IF('Cost Margin'!$K31&lt;&gt;"",'Cost Margin'!$K31*Z23/'Cost Margin'!$J31,Z23*Settings!$B$3*IF('Cost Margin'!$D31="",1,'Cost Margin'!$D31)))</f>
        <v>0</v>
      </c>
    </row>
    <row r="46" spans="1:26" x14ac:dyDescent="0.2">
      <c r="A46">
        <v>16</v>
      </c>
      <c r="B46" s="33" t="str">
        <f>IF('Cost Margin'!A32="","",'Cost Margin'!A32)</f>
        <v/>
      </c>
      <c r="C46" s="34">
        <f>IF(C24=0,0,IF('Cost Margin'!$K32&lt;&gt;"",'Cost Margin'!$K32*C24/'Cost Margin'!$J32,C24*Settings!$B$3*IF('Cost Margin'!$D32="",1,'Cost Margin'!$D32)))</f>
        <v>0</v>
      </c>
      <c r="D46" s="34">
        <f>IF(D24=0,0,IF('Cost Margin'!$K32&lt;&gt;"",'Cost Margin'!$K32*D24/'Cost Margin'!$J32,D24*Settings!$B$3*IF('Cost Margin'!$D32="",1,'Cost Margin'!$D32)))</f>
        <v>0</v>
      </c>
      <c r="E46" s="34">
        <f>IF(E24=0,0,IF('Cost Margin'!$K32&lt;&gt;"",'Cost Margin'!$K32*E24/'Cost Margin'!$J32,E24*Settings!$B$3*IF('Cost Margin'!$D32="",1,'Cost Margin'!$D32)))</f>
        <v>0</v>
      </c>
      <c r="F46" s="34">
        <f>IF(F24=0,0,IF('Cost Margin'!$K32&lt;&gt;"",'Cost Margin'!$K32*F24/'Cost Margin'!$J32,F24*Settings!$B$3*IF('Cost Margin'!$D32="",1,'Cost Margin'!$D32)))</f>
        <v>0</v>
      </c>
      <c r="G46" s="34">
        <f>IF(G24=0,0,IF('Cost Margin'!$K32&lt;&gt;"",'Cost Margin'!$K32*G24/'Cost Margin'!$J32,G24*Settings!$B$3*IF('Cost Margin'!$D32="",1,'Cost Margin'!$D32)))</f>
        <v>0</v>
      </c>
      <c r="H46" s="34">
        <f>IF(H24=0,0,IF('Cost Margin'!$K32&lt;&gt;"",'Cost Margin'!$K32*H24/'Cost Margin'!$J32,H24*Settings!$B$3*IF('Cost Margin'!$D32="",1,'Cost Margin'!$D32)))</f>
        <v>0</v>
      </c>
      <c r="I46" s="34">
        <f>IF(I24=0,0,IF('Cost Margin'!$K32&lt;&gt;"",'Cost Margin'!$K32*I24/'Cost Margin'!$J32,I24*Settings!$B$3*IF('Cost Margin'!$D32="",1,'Cost Margin'!$D32)))</f>
        <v>0</v>
      </c>
      <c r="J46" s="34">
        <f>IF(J24=0,0,IF('Cost Margin'!$K32&lt;&gt;"",'Cost Margin'!$K32*J24/'Cost Margin'!$J32,J24*Settings!$B$3*IF('Cost Margin'!$D32="",1,'Cost Margin'!$D32)))</f>
        <v>0</v>
      </c>
      <c r="K46" s="34">
        <f>IF(K24=0,0,IF('Cost Margin'!$K32&lt;&gt;"",'Cost Margin'!$K32*K24/'Cost Margin'!$J32,K24*Settings!$B$3*IF('Cost Margin'!$D32="",1,'Cost Margin'!$D32)))</f>
        <v>0</v>
      </c>
      <c r="L46" s="34">
        <f>IF(L24=0,0,IF('Cost Margin'!$K32&lt;&gt;"",'Cost Margin'!$K32*L24/'Cost Margin'!$J32,L24*Settings!$B$3*IF('Cost Margin'!$D32="",1,'Cost Margin'!$D32)))</f>
        <v>0</v>
      </c>
      <c r="M46" s="34">
        <f>IF(M24=0,0,IF('Cost Margin'!$K32&lt;&gt;"",'Cost Margin'!$K32*M24/'Cost Margin'!$J32,M24*Settings!$B$3*IF('Cost Margin'!$D32="",1,'Cost Margin'!$D32)))</f>
        <v>0</v>
      </c>
      <c r="N46" s="34">
        <f>IF(N24=0,0,IF('Cost Margin'!$K32&lt;&gt;"",'Cost Margin'!$K32*N24/'Cost Margin'!$J32,N24*Settings!$B$3*IF('Cost Margin'!$D32="",1,'Cost Margin'!$D32)))</f>
        <v>0</v>
      </c>
      <c r="O46" s="34">
        <f>IF(O24=0,0,IF('Cost Margin'!$K32&lt;&gt;"",'Cost Margin'!$K32*O24/'Cost Margin'!$J32,O24*Settings!$B$3*IF('Cost Margin'!$D32="",1,'Cost Margin'!$D32)))</f>
        <v>0</v>
      </c>
      <c r="P46" s="34">
        <f>IF(P24=0,0,IF('Cost Margin'!$K32&lt;&gt;"",'Cost Margin'!$K32*P24/'Cost Margin'!$J32,P24*Settings!$B$3*IF('Cost Margin'!$D32="",1,'Cost Margin'!$D32)))</f>
        <v>0</v>
      </c>
      <c r="Q46" s="34">
        <f>IF(Q24=0,0,IF('Cost Margin'!$K32&lt;&gt;"",'Cost Margin'!$K32*Q24/'Cost Margin'!$J32,Q24*Settings!$B$3*IF('Cost Margin'!$D32="",1,'Cost Margin'!$D32)))</f>
        <v>0</v>
      </c>
      <c r="R46" s="34">
        <f>IF(R24=0,0,IF('Cost Margin'!$K32&lt;&gt;"",'Cost Margin'!$K32*R24/'Cost Margin'!$J32,R24*Settings!$B$3*IF('Cost Margin'!$D32="",1,'Cost Margin'!$D32)))</f>
        <v>0</v>
      </c>
      <c r="S46" s="34">
        <f>IF(S24=0,0,IF('Cost Margin'!$K32&lt;&gt;"",'Cost Margin'!$K32*S24/'Cost Margin'!$J32,S24*Settings!$B$3*IF('Cost Margin'!$D32="",1,'Cost Margin'!$D32)))</f>
        <v>0</v>
      </c>
      <c r="T46" s="34">
        <f>IF(T24=0,0,IF('Cost Margin'!$K32&lt;&gt;"",'Cost Margin'!$K32*T24/'Cost Margin'!$J32,T24*Settings!$B$3*IF('Cost Margin'!$D32="",1,'Cost Margin'!$D32)))</f>
        <v>0</v>
      </c>
      <c r="U46" s="34">
        <f>IF(U24=0,0,IF('Cost Margin'!$K32&lt;&gt;"",'Cost Margin'!$K32*U24/'Cost Margin'!$J32,U24*Settings!$B$3*IF('Cost Margin'!$D32="",1,'Cost Margin'!$D32)))</f>
        <v>0</v>
      </c>
      <c r="V46" s="34">
        <f>IF(V24=0,0,IF('Cost Margin'!$K32&lt;&gt;"",'Cost Margin'!$K32*V24/'Cost Margin'!$J32,V24*Settings!$B$3*IF('Cost Margin'!$D32="",1,'Cost Margin'!$D32)))</f>
        <v>0</v>
      </c>
      <c r="W46" s="34">
        <f>IF(W24=0,0,IF('Cost Margin'!$K32&lt;&gt;"",'Cost Margin'!$K32*W24/'Cost Margin'!$J32,W24*Settings!$B$3*IF('Cost Margin'!$D32="",1,'Cost Margin'!$D32)))</f>
        <v>0</v>
      </c>
      <c r="X46" s="34">
        <f>IF(X24=0,0,IF('Cost Margin'!$K32&lt;&gt;"",'Cost Margin'!$K32*X24/'Cost Margin'!$J32,X24*Settings!$B$3*IF('Cost Margin'!$D32="",1,'Cost Margin'!$D32)))</f>
        <v>0</v>
      </c>
      <c r="Y46" s="34">
        <f>IF(Y24=0,0,IF('Cost Margin'!$K32&lt;&gt;"",'Cost Margin'!$K32*Y24/'Cost Margin'!$J32,Y24*Settings!$B$3*IF('Cost Margin'!$D32="",1,'Cost Margin'!$D32)))</f>
        <v>0</v>
      </c>
      <c r="Z46" s="34">
        <f>IF(Z24=0,0,IF('Cost Margin'!$K32&lt;&gt;"",'Cost Margin'!$K32*Z24/'Cost Margin'!$J32,Z24*Settings!$B$3*IF('Cost Margin'!$D32="",1,'Cost Margin'!$D32)))</f>
        <v>0</v>
      </c>
    </row>
    <row r="47" spans="1:26" x14ac:dyDescent="0.2">
      <c r="A47">
        <v>17</v>
      </c>
      <c r="B47" s="33" t="str">
        <f>IF('Cost Margin'!A33="","",'Cost Margin'!A33)</f>
        <v/>
      </c>
      <c r="C47" s="34">
        <f>IF(C25=0,0,IF('Cost Margin'!$K33&lt;&gt;"",'Cost Margin'!$K33*C25/'Cost Margin'!$J33,C25*Settings!$B$3*IF('Cost Margin'!$D33="",1,'Cost Margin'!$D33)))</f>
        <v>0</v>
      </c>
      <c r="D47" s="34">
        <f>IF(D25=0,0,IF('Cost Margin'!$K33&lt;&gt;"",'Cost Margin'!$K33*D25/'Cost Margin'!$J33,D25*Settings!$B$3*IF('Cost Margin'!$D33="",1,'Cost Margin'!$D33)))</f>
        <v>0</v>
      </c>
      <c r="E47" s="34">
        <f>IF(E25=0,0,IF('Cost Margin'!$K33&lt;&gt;"",'Cost Margin'!$K33*E25/'Cost Margin'!$J33,E25*Settings!$B$3*IF('Cost Margin'!$D33="",1,'Cost Margin'!$D33)))</f>
        <v>0</v>
      </c>
      <c r="F47" s="34">
        <f>IF(F25=0,0,IF('Cost Margin'!$K33&lt;&gt;"",'Cost Margin'!$K33*F25/'Cost Margin'!$J33,F25*Settings!$B$3*IF('Cost Margin'!$D33="",1,'Cost Margin'!$D33)))</f>
        <v>0</v>
      </c>
      <c r="G47" s="34">
        <f>IF(G25=0,0,IF('Cost Margin'!$K33&lt;&gt;"",'Cost Margin'!$K33*G25/'Cost Margin'!$J33,G25*Settings!$B$3*IF('Cost Margin'!$D33="",1,'Cost Margin'!$D33)))</f>
        <v>0</v>
      </c>
      <c r="H47" s="34">
        <f>IF(H25=0,0,IF('Cost Margin'!$K33&lt;&gt;"",'Cost Margin'!$K33*H25/'Cost Margin'!$J33,H25*Settings!$B$3*IF('Cost Margin'!$D33="",1,'Cost Margin'!$D33)))</f>
        <v>0</v>
      </c>
      <c r="I47" s="34">
        <f>IF(I25=0,0,IF('Cost Margin'!$K33&lt;&gt;"",'Cost Margin'!$K33*I25/'Cost Margin'!$J33,I25*Settings!$B$3*IF('Cost Margin'!$D33="",1,'Cost Margin'!$D33)))</f>
        <v>0</v>
      </c>
      <c r="J47" s="34">
        <f>IF(J25=0,0,IF('Cost Margin'!$K33&lt;&gt;"",'Cost Margin'!$K33*J25/'Cost Margin'!$J33,J25*Settings!$B$3*IF('Cost Margin'!$D33="",1,'Cost Margin'!$D33)))</f>
        <v>0</v>
      </c>
      <c r="K47" s="34">
        <f>IF(K25=0,0,IF('Cost Margin'!$K33&lt;&gt;"",'Cost Margin'!$K33*K25/'Cost Margin'!$J33,K25*Settings!$B$3*IF('Cost Margin'!$D33="",1,'Cost Margin'!$D33)))</f>
        <v>0</v>
      </c>
      <c r="L47" s="34">
        <f>IF(L25=0,0,IF('Cost Margin'!$K33&lt;&gt;"",'Cost Margin'!$K33*L25/'Cost Margin'!$J33,L25*Settings!$B$3*IF('Cost Margin'!$D33="",1,'Cost Margin'!$D33)))</f>
        <v>0</v>
      </c>
      <c r="M47" s="34">
        <f>IF(M25=0,0,IF('Cost Margin'!$K33&lt;&gt;"",'Cost Margin'!$K33*M25/'Cost Margin'!$J33,M25*Settings!$B$3*IF('Cost Margin'!$D33="",1,'Cost Margin'!$D33)))</f>
        <v>0</v>
      </c>
      <c r="N47" s="34">
        <f>IF(N25=0,0,IF('Cost Margin'!$K33&lt;&gt;"",'Cost Margin'!$K33*N25/'Cost Margin'!$J33,N25*Settings!$B$3*IF('Cost Margin'!$D33="",1,'Cost Margin'!$D33)))</f>
        <v>0</v>
      </c>
      <c r="O47" s="34">
        <f>IF(O25=0,0,IF('Cost Margin'!$K33&lt;&gt;"",'Cost Margin'!$K33*O25/'Cost Margin'!$J33,O25*Settings!$B$3*IF('Cost Margin'!$D33="",1,'Cost Margin'!$D33)))</f>
        <v>0</v>
      </c>
      <c r="P47" s="34">
        <f>IF(P25=0,0,IF('Cost Margin'!$K33&lt;&gt;"",'Cost Margin'!$K33*P25/'Cost Margin'!$J33,P25*Settings!$B$3*IF('Cost Margin'!$D33="",1,'Cost Margin'!$D33)))</f>
        <v>0</v>
      </c>
      <c r="Q47" s="34">
        <f>IF(Q25=0,0,IF('Cost Margin'!$K33&lt;&gt;"",'Cost Margin'!$K33*Q25/'Cost Margin'!$J33,Q25*Settings!$B$3*IF('Cost Margin'!$D33="",1,'Cost Margin'!$D33)))</f>
        <v>0</v>
      </c>
      <c r="R47" s="34">
        <f>IF(R25=0,0,IF('Cost Margin'!$K33&lt;&gt;"",'Cost Margin'!$K33*R25/'Cost Margin'!$J33,R25*Settings!$B$3*IF('Cost Margin'!$D33="",1,'Cost Margin'!$D33)))</f>
        <v>0</v>
      </c>
      <c r="S47" s="34">
        <f>IF(S25=0,0,IF('Cost Margin'!$K33&lt;&gt;"",'Cost Margin'!$K33*S25/'Cost Margin'!$J33,S25*Settings!$B$3*IF('Cost Margin'!$D33="",1,'Cost Margin'!$D33)))</f>
        <v>0</v>
      </c>
      <c r="T47" s="34">
        <f>IF(T25=0,0,IF('Cost Margin'!$K33&lt;&gt;"",'Cost Margin'!$K33*T25/'Cost Margin'!$J33,T25*Settings!$B$3*IF('Cost Margin'!$D33="",1,'Cost Margin'!$D33)))</f>
        <v>0</v>
      </c>
      <c r="U47" s="34">
        <f>IF(U25=0,0,IF('Cost Margin'!$K33&lt;&gt;"",'Cost Margin'!$K33*U25/'Cost Margin'!$J33,U25*Settings!$B$3*IF('Cost Margin'!$D33="",1,'Cost Margin'!$D33)))</f>
        <v>0</v>
      </c>
      <c r="V47" s="34">
        <f>IF(V25=0,0,IF('Cost Margin'!$K33&lt;&gt;"",'Cost Margin'!$K33*V25/'Cost Margin'!$J33,V25*Settings!$B$3*IF('Cost Margin'!$D33="",1,'Cost Margin'!$D33)))</f>
        <v>0</v>
      </c>
      <c r="W47" s="34">
        <f>IF(W25=0,0,IF('Cost Margin'!$K33&lt;&gt;"",'Cost Margin'!$K33*W25/'Cost Margin'!$J33,W25*Settings!$B$3*IF('Cost Margin'!$D33="",1,'Cost Margin'!$D33)))</f>
        <v>0</v>
      </c>
      <c r="X47" s="34">
        <f>IF(X25=0,0,IF('Cost Margin'!$K33&lt;&gt;"",'Cost Margin'!$K33*X25/'Cost Margin'!$J33,X25*Settings!$B$3*IF('Cost Margin'!$D33="",1,'Cost Margin'!$D33)))</f>
        <v>0</v>
      </c>
      <c r="Y47" s="34">
        <f>IF(Y25=0,0,IF('Cost Margin'!$K33&lt;&gt;"",'Cost Margin'!$K33*Y25/'Cost Margin'!$J33,Y25*Settings!$B$3*IF('Cost Margin'!$D33="",1,'Cost Margin'!$D33)))</f>
        <v>0</v>
      </c>
      <c r="Z47" s="34">
        <f>IF(Z25=0,0,IF('Cost Margin'!$K33&lt;&gt;"",'Cost Margin'!$K33*Z25/'Cost Margin'!$J33,Z25*Settings!$B$3*IF('Cost Margin'!$D33="",1,'Cost Margin'!$D33)))</f>
        <v>0</v>
      </c>
    </row>
    <row r="48" spans="1:26" x14ac:dyDescent="0.2">
      <c r="A48">
        <v>18</v>
      </c>
      <c r="B48" s="33" t="str">
        <f>IF('Cost Margin'!A34="","",'Cost Margin'!A34)</f>
        <v/>
      </c>
      <c r="C48" s="34">
        <f>IF(C26=0,0,IF('Cost Margin'!$K34&lt;&gt;"",'Cost Margin'!$K34*C26/'Cost Margin'!$J34,C26*Settings!$B$3*IF('Cost Margin'!$D34="",1,'Cost Margin'!$D34)))</f>
        <v>0</v>
      </c>
      <c r="D48" s="34">
        <f>IF(D26=0,0,IF('Cost Margin'!$K34&lt;&gt;"",'Cost Margin'!$K34*D26/'Cost Margin'!$J34,D26*Settings!$B$3*IF('Cost Margin'!$D34="",1,'Cost Margin'!$D34)))</f>
        <v>0</v>
      </c>
      <c r="E48" s="34">
        <f>IF(E26=0,0,IF('Cost Margin'!$K34&lt;&gt;"",'Cost Margin'!$K34*E26/'Cost Margin'!$J34,E26*Settings!$B$3*IF('Cost Margin'!$D34="",1,'Cost Margin'!$D34)))</f>
        <v>0</v>
      </c>
      <c r="F48" s="34">
        <f>IF(F26=0,0,IF('Cost Margin'!$K34&lt;&gt;"",'Cost Margin'!$K34*F26/'Cost Margin'!$J34,F26*Settings!$B$3*IF('Cost Margin'!$D34="",1,'Cost Margin'!$D34)))</f>
        <v>0</v>
      </c>
      <c r="G48" s="34">
        <f>IF(G26=0,0,IF('Cost Margin'!$K34&lt;&gt;"",'Cost Margin'!$K34*G26/'Cost Margin'!$J34,G26*Settings!$B$3*IF('Cost Margin'!$D34="",1,'Cost Margin'!$D34)))</f>
        <v>0</v>
      </c>
      <c r="H48" s="34">
        <f>IF(H26=0,0,IF('Cost Margin'!$K34&lt;&gt;"",'Cost Margin'!$K34*H26/'Cost Margin'!$J34,H26*Settings!$B$3*IF('Cost Margin'!$D34="",1,'Cost Margin'!$D34)))</f>
        <v>0</v>
      </c>
      <c r="I48" s="34">
        <f>IF(I26=0,0,IF('Cost Margin'!$K34&lt;&gt;"",'Cost Margin'!$K34*I26/'Cost Margin'!$J34,I26*Settings!$B$3*IF('Cost Margin'!$D34="",1,'Cost Margin'!$D34)))</f>
        <v>0</v>
      </c>
      <c r="J48" s="34">
        <f>IF(J26=0,0,IF('Cost Margin'!$K34&lt;&gt;"",'Cost Margin'!$K34*J26/'Cost Margin'!$J34,J26*Settings!$B$3*IF('Cost Margin'!$D34="",1,'Cost Margin'!$D34)))</f>
        <v>0</v>
      </c>
      <c r="K48" s="34">
        <f>IF(K26=0,0,IF('Cost Margin'!$K34&lt;&gt;"",'Cost Margin'!$K34*K26/'Cost Margin'!$J34,K26*Settings!$B$3*IF('Cost Margin'!$D34="",1,'Cost Margin'!$D34)))</f>
        <v>0</v>
      </c>
      <c r="L48" s="34">
        <f>IF(L26=0,0,IF('Cost Margin'!$K34&lt;&gt;"",'Cost Margin'!$K34*L26/'Cost Margin'!$J34,L26*Settings!$B$3*IF('Cost Margin'!$D34="",1,'Cost Margin'!$D34)))</f>
        <v>0</v>
      </c>
      <c r="M48" s="34">
        <f>IF(M26=0,0,IF('Cost Margin'!$K34&lt;&gt;"",'Cost Margin'!$K34*M26/'Cost Margin'!$J34,M26*Settings!$B$3*IF('Cost Margin'!$D34="",1,'Cost Margin'!$D34)))</f>
        <v>0</v>
      </c>
      <c r="N48" s="34">
        <f>IF(N26=0,0,IF('Cost Margin'!$K34&lt;&gt;"",'Cost Margin'!$K34*N26/'Cost Margin'!$J34,N26*Settings!$B$3*IF('Cost Margin'!$D34="",1,'Cost Margin'!$D34)))</f>
        <v>0</v>
      </c>
      <c r="O48" s="34">
        <f>IF(O26=0,0,IF('Cost Margin'!$K34&lt;&gt;"",'Cost Margin'!$K34*O26/'Cost Margin'!$J34,O26*Settings!$B$3*IF('Cost Margin'!$D34="",1,'Cost Margin'!$D34)))</f>
        <v>0</v>
      </c>
      <c r="P48" s="34">
        <f>IF(P26=0,0,IF('Cost Margin'!$K34&lt;&gt;"",'Cost Margin'!$K34*P26/'Cost Margin'!$J34,P26*Settings!$B$3*IF('Cost Margin'!$D34="",1,'Cost Margin'!$D34)))</f>
        <v>0</v>
      </c>
      <c r="Q48" s="34">
        <f>IF(Q26=0,0,IF('Cost Margin'!$K34&lt;&gt;"",'Cost Margin'!$K34*Q26/'Cost Margin'!$J34,Q26*Settings!$B$3*IF('Cost Margin'!$D34="",1,'Cost Margin'!$D34)))</f>
        <v>0</v>
      </c>
      <c r="R48" s="34">
        <f>IF(R26=0,0,IF('Cost Margin'!$K34&lt;&gt;"",'Cost Margin'!$K34*R26/'Cost Margin'!$J34,R26*Settings!$B$3*IF('Cost Margin'!$D34="",1,'Cost Margin'!$D34)))</f>
        <v>0</v>
      </c>
      <c r="S48" s="34">
        <f>IF(S26=0,0,IF('Cost Margin'!$K34&lt;&gt;"",'Cost Margin'!$K34*S26/'Cost Margin'!$J34,S26*Settings!$B$3*IF('Cost Margin'!$D34="",1,'Cost Margin'!$D34)))</f>
        <v>0</v>
      </c>
      <c r="T48" s="34">
        <f>IF(T26=0,0,IF('Cost Margin'!$K34&lt;&gt;"",'Cost Margin'!$K34*T26/'Cost Margin'!$J34,T26*Settings!$B$3*IF('Cost Margin'!$D34="",1,'Cost Margin'!$D34)))</f>
        <v>0</v>
      </c>
      <c r="U48" s="34">
        <f>IF(U26=0,0,IF('Cost Margin'!$K34&lt;&gt;"",'Cost Margin'!$K34*U26/'Cost Margin'!$J34,U26*Settings!$B$3*IF('Cost Margin'!$D34="",1,'Cost Margin'!$D34)))</f>
        <v>0</v>
      </c>
      <c r="V48" s="34">
        <f>IF(V26=0,0,IF('Cost Margin'!$K34&lt;&gt;"",'Cost Margin'!$K34*V26/'Cost Margin'!$J34,V26*Settings!$B$3*IF('Cost Margin'!$D34="",1,'Cost Margin'!$D34)))</f>
        <v>0</v>
      </c>
      <c r="W48" s="34">
        <f>IF(W26=0,0,IF('Cost Margin'!$K34&lt;&gt;"",'Cost Margin'!$K34*W26/'Cost Margin'!$J34,W26*Settings!$B$3*IF('Cost Margin'!$D34="",1,'Cost Margin'!$D34)))</f>
        <v>0</v>
      </c>
      <c r="X48" s="34">
        <f>IF(X26=0,0,IF('Cost Margin'!$K34&lt;&gt;"",'Cost Margin'!$K34*X26/'Cost Margin'!$J34,X26*Settings!$B$3*IF('Cost Margin'!$D34="",1,'Cost Margin'!$D34)))</f>
        <v>0</v>
      </c>
      <c r="Y48" s="34">
        <f>IF(Y26=0,0,IF('Cost Margin'!$K34&lt;&gt;"",'Cost Margin'!$K34*Y26/'Cost Margin'!$J34,Y26*Settings!$B$3*IF('Cost Margin'!$D34="",1,'Cost Margin'!$D34)))</f>
        <v>0</v>
      </c>
      <c r="Z48" s="34">
        <f>IF(Z26=0,0,IF('Cost Margin'!$K34&lt;&gt;"",'Cost Margin'!$K34*Z26/'Cost Margin'!$J34,Z26*Settings!$B$3*IF('Cost Margin'!$D34="",1,'Cost Margin'!$D34)))</f>
        <v>0</v>
      </c>
    </row>
    <row r="49" spans="1:27" x14ac:dyDescent="0.2">
      <c r="A49">
        <v>19</v>
      </c>
      <c r="B49" s="33" t="str">
        <f>IF('Cost Margin'!A35="","",'Cost Margin'!A35)</f>
        <v/>
      </c>
      <c r="C49" s="34">
        <f>IF(C27=0,0,IF('Cost Margin'!$K35&lt;&gt;"",'Cost Margin'!$K35*C27/'Cost Margin'!$J35,C27*Settings!$B$3*IF('Cost Margin'!$D35="",1,'Cost Margin'!$D35)))</f>
        <v>0</v>
      </c>
      <c r="D49" s="34">
        <f>IF(D27=0,0,IF('Cost Margin'!$K35&lt;&gt;"",'Cost Margin'!$K35*D27/'Cost Margin'!$J35,D27*Settings!$B$3*IF('Cost Margin'!$D35="",1,'Cost Margin'!$D35)))</f>
        <v>0</v>
      </c>
      <c r="E49" s="34">
        <f>IF(E27=0,0,IF('Cost Margin'!$K35&lt;&gt;"",'Cost Margin'!$K35*E27/'Cost Margin'!$J35,E27*Settings!$B$3*IF('Cost Margin'!$D35="",1,'Cost Margin'!$D35)))</f>
        <v>0</v>
      </c>
      <c r="F49" s="34">
        <f>IF(F27=0,0,IF('Cost Margin'!$K35&lt;&gt;"",'Cost Margin'!$K35*F27/'Cost Margin'!$J35,F27*Settings!$B$3*IF('Cost Margin'!$D35="",1,'Cost Margin'!$D35)))</f>
        <v>0</v>
      </c>
      <c r="G49" s="34">
        <f>IF(G27=0,0,IF('Cost Margin'!$K35&lt;&gt;"",'Cost Margin'!$K35*G27/'Cost Margin'!$J35,G27*Settings!$B$3*IF('Cost Margin'!$D35="",1,'Cost Margin'!$D35)))</f>
        <v>0</v>
      </c>
      <c r="H49" s="34">
        <f>IF(H27=0,0,IF('Cost Margin'!$K35&lt;&gt;"",'Cost Margin'!$K35*H27/'Cost Margin'!$J35,H27*Settings!$B$3*IF('Cost Margin'!$D35="",1,'Cost Margin'!$D35)))</f>
        <v>0</v>
      </c>
      <c r="I49" s="34">
        <f>IF(I27=0,0,IF('Cost Margin'!$K35&lt;&gt;"",'Cost Margin'!$K35*I27/'Cost Margin'!$J35,I27*Settings!$B$3*IF('Cost Margin'!$D35="",1,'Cost Margin'!$D35)))</f>
        <v>0</v>
      </c>
      <c r="J49" s="34">
        <f>IF(J27=0,0,IF('Cost Margin'!$K35&lt;&gt;"",'Cost Margin'!$K35*J27/'Cost Margin'!$J35,J27*Settings!$B$3*IF('Cost Margin'!$D35="",1,'Cost Margin'!$D35)))</f>
        <v>0</v>
      </c>
      <c r="K49" s="34">
        <f>IF(K27=0,0,IF('Cost Margin'!$K35&lt;&gt;"",'Cost Margin'!$K35*K27/'Cost Margin'!$J35,K27*Settings!$B$3*IF('Cost Margin'!$D35="",1,'Cost Margin'!$D35)))</f>
        <v>0</v>
      </c>
      <c r="L49" s="34">
        <f>IF(L27=0,0,IF('Cost Margin'!$K35&lt;&gt;"",'Cost Margin'!$K35*L27/'Cost Margin'!$J35,L27*Settings!$B$3*IF('Cost Margin'!$D35="",1,'Cost Margin'!$D35)))</f>
        <v>0</v>
      </c>
      <c r="M49" s="34">
        <f>IF(M27=0,0,IF('Cost Margin'!$K35&lt;&gt;"",'Cost Margin'!$K35*M27/'Cost Margin'!$J35,M27*Settings!$B$3*IF('Cost Margin'!$D35="",1,'Cost Margin'!$D35)))</f>
        <v>0</v>
      </c>
      <c r="N49" s="34">
        <f>IF(N27=0,0,IF('Cost Margin'!$K35&lt;&gt;"",'Cost Margin'!$K35*N27/'Cost Margin'!$J35,N27*Settings!$B$3*IF('Cost Margin'!$D35="",1,'Cost Margin'!$D35)))</f>
        <v>0</v>
      </c>
      <c r="O49" s="34">
        <f>IF(O27=0,0,IF('Cost Margin'!$K35&lt;&gt;"",'Cost Margin'!$K35*O27/'Cost Margin'!$J35,O27*Settings!$B$3*IF('Cost Margin'!$D35="",1,'Cost Margin'!$D35)))</f>
        <v>0</v>
      </c>
      <c r="P49" s="34">
        <f>IF(P27=0,0,IF('Cost Margin'!$K35&lt;&gt;"",'Cost Margin'!$K35*P27/'Cost Margin'!$J35,P27*Settings!$B$3*IF('Cost Margin'!$D35="",1,'Cost Margin'!$D35)))</f>
        <v>0</v>
      </c>
      <c r="Q49" s="34">
        <f>IF(Q27=0,0,IF('Cost Margin'!$K35&lt;&gt;"",'Cost Margin'!$K35*Q27/'Cost Margin'!$J35,Q27*Settings!$B$3*IF('Cost Margin'!$D35="",1,'Cost Margin'!$D35)))</f>
        <v>0</v>
      </c>
      <c r="R49" s="34">
        <f>IF(R27=0,0,IF('Cost Margin'!$K35&lt;&gt;"",'Cost Margin'!$K35*R27/'Cost Margin'!$J35,R27*Settings!$B$3*IF('Cost Margin'!$D35="",1,'Cost Margin'!$D35)))</f>
        <v>0</v>
      </c>
      <c r="S49" s="34">
        <f>IF(S27=0,0,IF('Cost Margin'!$K35&lt;&gt;"",'Cost Margin'!$K35*S27/'Cost Margin'!$J35,S27*Settings!$B$3*IF('Cost Margin'!$D35="",1,'Cost Margin'!$D35)))</f>
        <v>0</v>
      </c>
      <c r="T49" s="34">
        <f>IF(T27=0,0,IF('Cost Margin'!$K35&lt;&gt;"",'Cost Margin'!$K35*T27/'Cost Margin'!$J35,T27*Settings!$B$3*IF('Cost Margin'!$D35="",1,'Cost Margin'!$D35)))</f>
        <v>0</v>
      </c>
      <c r="U49" s="34">
        <f>IF(U27=0,0,IF('Cost Margin'!$K35&lt;&gt;"",'Cost Margin'!$K35*U27/'Cost Margin'!$J35,U27*Settings!$B$3*IF('Cost Margin'!$D35="",1,'Cost Margin'!$D35)))</f>
        <v>0</v>
      </c>
      <c r="V49" s="34">
        <f>IF(V27=0,0,IF('Cost Margin'!$K35&lt;&gt;"",'Cost Margin'!$K35*V27/'Cost Margin'!$J35,V27*Settings!$B$3*IF('Cost Margin'!$D35="",1,'Cost Margin'!$D35)))</f>
        <v>0</v>
      </c>
      <c r="W49" s="34">
        <f>IF(W27=0,0,IF('Cost Margin'!$K35&lt;&gt;"",'Cost Margin'!$K35*W27/'Cost Margin'!$J35,W27*Settings!$B$3*IF('Cost Margin'!$D35="",1,'Cost Margin'!$D35)))</f>
        <v>0</v>
      </c>
      <c r="X49" s="34">
        <f>IF(X27=0,0,IF('Cost Margin'!$K35&lt;&gt;"",'Cost Margin'!$K35*X27/'Cost Margin'!$J35,X27*Settings!$B$3*IF('Cost Margin'!$D35="",1,'Cost Margin'!$D35)))</f>
        <v>0</v>
      </c>
      <c r="Y49" s="34">
        <f>IF(Y27=0,0,IF('Cost Margin'!$K35&lt;&gt;"",'Cost Margin'!$K35*Y27/'Cost Margin'!$J35,Y27*Settings!$B$3*IF('Cost Margin'!$D35="",1,'Cost Margin'!$D35)))</f>
        <v>0</v>
      </c>
      <c r="Z49" s="34">
        <f>IF(Z27=0,0,IF('Cost Margin'!$K35&lt;&gt;"",'Cost Margin'!$K35*Z27/'Cost Margin'!$J35,Z27*Settings!$B$3*IF('Cost Margin'!$D35="",1,'Cost Margin'!$D35)))</f>
        <v>0</v>
      </c>
    </row>
    <row r="50" spans="1:27" x14ac:dyDescent="0.2">
      <c r="A50">
        <v>20</v>
      </c>
      <c r="B50" s="33" t="str">
        <f>IF('Cost Margin'!A36="","",'Cost Margin'!A36)</f>
        <v/>
      </c>
      <c r="C50" s="34">
        <f>IF(C28=0,0,IF('Cost Margin'!$K36&lt;&gt;"",'Cost Margin'!$K36*C28/'Cost Margin'!$J36,C28*Settings!$B$3*IF('Cost Margin'!$D36="",1,'Cost Margin'!$D36)))</f>
        <v>0</v>
      </c>
      <c r="D50" s="34">
        <f>IF(D28=0,0,IF('Cost Margin'!$K36&lt;&gt;"",'Cost Margin'!$K36*D28/'Cost Margin'!$J36,D28*Settings!$B$3*IF('Cost Margin'!$D36="",1,'Cost Margin'!$D36)))</f>
        <v>0</v>
      </c>
      <c r="E50" s="34">
        <f>IF(E28=0,0,IF('Cost Margin'!$K36&lt;&gt;"",'Cost Margin'!$K36*E28/'Cost Margin'!$J36,E28*Settings!$B$3*IF('Cost Margin'!$D36="",1,'Cost Margin'!$D36)))</f>
        <v>0</v>
      </c>
      <c r="F50" s="34">
        <f>IF(F28=0,0,IF('Cost Margin'!$K36&lt;&gt;"",'Cost Margin'!$K36*F28/'Cost Margin'!$J36,F28*Settings!$B$3*IF('Cost Margin'!$D36="",1,'Cost Margin'!$D36)))</f>
        <v>0</v>
      </c>
      <c r="G50" s="34">
        <f>IF(G28=0,0,IF('Cost Margin'!$K36&lt;&gt;"",'Cost Margin'!$K36*G28/'Cost Margin'!$J36,G28*Settings!$B$3*IF('Cost Margin'!$D36="",1,'Cost Margin'!$D36)))</f>
        <v>0</v>
      </c>
      <c r="H50" s="34">
        <f>IF(H28=0,0,IF('Cost Margin'!$K36&lt;&gt;"",'Cost Margin'!$K36*H28/'Cost Margin'!$J36,H28*Settings!$B$3*IF('Cost Margin'!$D36="",1,'Cost Margin'!$D36)))</f>
        <v>0</v>
      </c>
      <c r="I50" s="34">
        <f>IF(I28=0,0,IF('Cost Margin'!$K36&lt;&gt;"",'Cost Margin'!$K36*I28/'Cost Margin'!$J36,I28*Settings!$B$3*IF('Cost Margin'!$D36="",1,'Cost Margin'!$D36)))</f>
        <v>0</v>
      </c>
      <c r="J50" s="34">
        <f>IF(J28=0,0,IF('Cost Margin'!$K36&lt;&gt;"",'Cost Margin'!$K36*J28/'Cost Margin'!$J36,J28*Settings!$B$3*IF('Cost Margin'!$D36="",1,'Cost Margin'!$D36)))</f>
        <v>0</v>
      </c>
      <c r="K50" s="34">
        <f>IF(K28=0,0,IF('Cost Margin'!$K36&lt;&gt;"",'Cost Margin'!$K36*K28/'Cost Margin'!$J36,K28*Settings!$B$3*IF('Cost Margin'!$D36="",1,'Cost Margin'!$D36)))</f>
        <v>0</v>
      </c>
      <c r="L50" s="34">
        <f>IF(L28=0,0,IF('Cost Margin'!$K36&lt;&gt;"",'Cost Margin'!$K36*L28/'Cost Margin'!$J36,L28*Settings!$B$3*IF('Cost Margin'!$D36="",1,'Cost Margin'!$D36)))</f>
        <v>0</v>
      </c>
      <c r="M50" s="34">
        <f>IF(M28=0,0,IF('Cost Margin'!$K36&lt;&gt;"",'Cost Margin'!$K36*M28/'Cost Margin'!$J36,M28*Settings!$B$3*IF('Cost Margin'!$D36="",1,'Cost Margin'!$D36)))</f>
        <v>0</v>
      </c>
      <c r="N50" s="34">
        <f>IF(N28=0,0,IF('Cost Margin'!$K36&lt;&gt;"",'Cost Margin'!$K36*N28/'Cost Margin'!$J36,N28*Settings!$B$3*IF('Cost Margin'!$D36="",1,'Cost Margin'!$D36)))</f>
        <v>0</v>
      </c>
      <c r="O50" s="34">
        <f>IF(O28=0,0,IF('Cost Margin'!$K36&lt;&gt;"",'Cost Margin'!$K36*O28/'Cost Margin'!$J36,O28*Settings!$B$3*IF('Cost Margin'!$D36="",1,'Cost Margin'!$D36)))</f>
        <v>0</v>
      </c>
      <c r="P50" s="34">
        <f>IF(P28=0,0,IF('Cost Margin'!$K36&lt;&gt;"",'Cost Margin'!$K36*P28/'Cost Margin'!$J36,P28*Settings!$B$3*IF('Cost Margin'!$D36="",1,'Cost Margin'!$D36)))</f>
        <v>0</v>
      </c>
      <c r="Q50" s="34">
        <f>IF(Q28=0,0,IF('Cost Margin'!$K36&lt;&gt;"",'Cost Margin'!$K36*Q28/'Cost Margin'!$J36,Q28*Settings!$B$3*IF('Cost Margin'!$D36="",1,'Cost Margin'!$D36)))</f>
        <v>0</v>
      </c>
      <c r="R50" s="34">
        <f>IF(R28=0,0,IF('Cost Margin'!$K36&lt;&gt;"",'Cost Margin'!$K36*R28/'Cost Margin'!$J36,R28*Settings!$B$3*IF('Cost Margin'!$D36="",1,'Cost Margin'!$D36)))</f>
        <v>0</v>
      </c>
      <c r="S50" s="34">
        <f>IF(S28=0,0,IF('Cost Margin'!$K36&lt;&gt;"",'Cost Margin'!$K36*S28/'Cost Margin'!$J36,S28*Settings!$B$3*IF('Cost Margin'!$D36="",1,'Cost Margin'!$D36)))</f>
        <v>0</v>
      </c>
      <c r="T50" s="34">
        <f>IF(T28=0,0,IF('Cost Margin'!$K36&lt;&gt;"",'Cost Margin'!$K36*T28/'Cost Margin'!$J36,T28*Settings!$B$3*IF('Cost Margin'!$D36="",1,'Cost Margin'!$D36)))</f>
        <v>0</v>
      </c>
      <c r="U50" s="34">
        <f>IF(U28=0,0,IF('Cost Margin'!$K36&lt;&gt;"",'Cost Margin'!$K36*U28/'Cost Margin'!$J36,U28*Settings!$B$3*IF('Cost Margin'!$D36="",1,'Cost Margin'!$D36)))</f>
        <v>0</v>
      </c>
      <c r="V50" s="34">
        <f>IF(V28=0,0,IF('Cost Margin'!$K36&lt;&gt;"",'Cost Margin'!$K36*V28/'Cost Margin'!$J36,V28*Settings!$B$3*IF('Cost Margin'!$D36="",1,'Cost Margin'!$D36)))</f>
        <v>0</v>
      </c>
      <c r="W50" s="34">
        <f>IF(W28=0,0,IF('Cost Margin'!$K36&lt;&gt;"",'Cost Margin'!$K36*W28/'Cost Margin'!$J36,W28*Settings!$B$3*IF('Cost Margin'!$D36="",1,'Cost Margin'!$D36)))</f>
        <v>0</v>
      </c>
      <c r="X50" s="34">
        <f>IF(X28=0,0,IF('Cost Margin'!$K36&lt;&gt;"",'Cost Margin'!$K36*X28/'Cost Margin'!$J36,X28*Settings!$B$3*IF('Cost Margin'!$D36="",1,'Cost Margin'!$D36)))</f>
        <v>0</v>
      </c>
      <c r="Y50" s="34">
        <f>IF(Y28=0,0,IF('Cost Margin'!$K36&lt;&gt;"",'Cost Margin'!$K36*Y28/'Cost Margin'!$J36,Y28*Settings!$B$3*IF('Cost Margin'!$D36="",1,'Cost Margin'!$D36)))</f>
        <v>0</v>
      </c>
      <c r="Z50" s="34">
        <f>IF(Z28=0,0,IF('Cost Margin'!$K36&lt;&gt;"",'Cost Margin'!$K36*Z28/'Cost Margin'!$J36,Z28*Settings!$B$3*IF('Cost Margin'!$D36="",1,'Cost Margin'!$D36)))</f>
        <v>0</v>
      </c>
    </row>
    <row r="52" spans="1:27" x14ac:dyDescent="0.2">
      <c r="A52" s="4" t="s">
        <v>115</v>
      </c>
    </row>
    <row r="53" spans="1:27" x14ac:dyDescent="0.2">
      <c r="B53" s="35" t="s">
        <v>116</v>
      </c>
      <c r="C53" s="7">
        <f t="shared" ref="C53:Z53" si="2">IF(C$5="","",COUNTIF(C31:C50,"&gt;0"))</f>
        <v>2</v>
      </c>
      <c r="D53" s="7">
        <f t="shared" si="2"/>
        <v>2</v>
      </c>
      <c r="E53" s="7" t="str">
        <f t="shared" si="2"/>
        <v/>
      </c>
      <c r="F53" s="7" t="str">
        <f t="shared" si="2"/>
        <v/>
      </c>
      <c r="G53" s="7" t="str">
        <f t="shared" si="2"/>
        <v/>
      </c>
      <c r="H53" s="7" t="str">
        <f t="shared" si="2"/>
        <v/>
      </c>
      <c r="I53" s="7" t="str">
        <f t="shared" si="2"/>
        <v/>
      </c>
      <c r="J53" s="7" t="str">
        <f t="shared" si="2"/>
        <v/>
      </c>
      <c r="K53" s="7" t="str">
        <f t="shared" si="2"/>
        <v/>
      </c>
      <c r="L53" s="7" t="str">
        <f t="shared" si="2"/>
        <v/>
      </c>
      <c r="M53" s="7" t="str">
        <f t="shared" si="2"/>
        <v/>
      </c>
      <c r="N53" s="7" t="str">
        <f t="shared" si="2"/>
        <v/>
      </c>
      <c r="O53" s="7" t="str">
        <f t="shared" si="2"/>
        <v/>
      </c>
      <c r="P53" s="7" t="str">
        <f t="shared" si="2"/>
        <v/>
      </c>
      <c r="Q53" s="7" t="str">
        <f t="shared" si="2"/>
        <v/>
      </c>
      <c r="R53" s="7" t="str">
        <f t="shared" si="2"/>
        <v/>
      </c>
      <c r="S53" s="7" t="str">
        <f t="shared" si="2"/>
        <v/>
      </c>
      <c r="T53" s="7" t="str">
        <f t="shared" si="2"/>
        <v/>
      </c>
      <c r="U53" s="7" t="str">
        <f t="shared" si="2"/>
        <v/>
      </c>
      <c r="V53" s="7" t="str">
        <f t="shared" si="2"/>
        <v/>
      </c>
      <c r="W53" s="7" t="str">
        <f t="shared" si="2"/>
        <v/>
      </c>
      <c r="X53" s="7" t="str">
        <f t="shared" si="2"/>
        <v/>
      </c>
      <c r="Y53" s="7" t="str">
        <f t="shared" si="2"/>
        <v/>
      </c>
      <c r="Z53" s="7" t="str">
        <f t="shared" si="2"/>
        <v/>
      </c>
      <c r="AA53" s="36">
        <f>MAX(C53:Z53)</f>
        <v>2</v>
      </c>
    </row>
    <row r="54" spans="1:27" x14ac:dyDescent="0.2">
      <c r="B54" s="35" t="s">
        <v>117</v>
      </c>
      <c r="C54" s="34">
        <f t="shared" ref="C54:Z54" si="3">IF(C$5="","",SUM(C31:C50))</f>
        <v>178.56</v>
      </c>
      <c r="D54" s="34">
        <f t="shared" si="3"/>
        <v>29.759999999999998</v>
      </c>
      <c r="E54" s="34" t="str">
        <f t="shared" si="3"/>
        <v/>
      </c>
      <c r="F54" s="34" t="str">
        <f t="shared" si="3"/>
        <v/>
      </c>
      <c r="G54" s="34" t="str">
        <f t="shared" si="3"/>
        <v/>
      </c>
      <c r="H54" s="34" t="str">
        <f t="shared" si="3"/>
        <v/>
      </c>
      <c r="I54" s="34" t="str">
        <f t="shared" si="3"/>
        <v/>
      </c>
      <c r="J54" s="34" t="str">
        <f t="shared" si="3"/>
        <v/>
      </c>
      <c r="K54" s="34" t="str">
        <f t="shared" si="3"/>
        <v/>
      </c>
      <c r="L54" s="34" t="str">
        <f t="shared" si="3"/>
        <v/>
      </c>
      <c r="M54" s="34" t="str">
        <f t="shared" si="3"/>
        <v/>
      </c>
      <c r="N54" s="34" t="str">
        <f t="shared" si="3"/>
        <v/>
      </c>
      <c r="O54" s="34" t="str">
        <f t="shared" si="3"/>
        <v/>
      </c>
      <c r="P54" s="34" t="str">
        <f t="shared" si="3"/>
        <v/>
      </c>
      <c r="Q54" s="34" t="str">
        <f t="shared" si="3"/>
        <v/>
      </c>
      <c r="R54" s="34" t="str">
        <f t="shared" si="3"/>
        <v/>
      </c>
      <c r="S54" s="34" t="str">
        <f t="shared" si="3"/>
        <v/>
      </c>
      <c r="T54" s="34" t="str">
        <f t="shared" si="3"/>
        <v/>
      </c>
      <c r="U54" s="34" t="str">
        <f t="shared" si="3"/>
        <v/>
      </c>
      <c r="V54" s="34" t="str">
        <f t="shared" si="3"/>
        <v/>
      </c>
      <c r="W54" s="34" t="str">
        <f t="shared" si="3"/>
        <v/>
      </c>
      <c r="X54" s="34" t="str">
        <f t="shared" si="3"/>
        <v/>
      </c>
      <c r="Y54" s="34" t="str">
        <f t="shared" si="3"/>
        <v/>
      </c>
      <c r="Z54" s="34" t="str">
        <f t="shared" si="3"/>
        <v/>
      </c>
      <c r="AA54" s="25">
        <f t="shared" ref="AA54:AA59" si="4">SUM(C54:Z54)</f>
        <v>208.32</v>
      </c>
    </row>
    <row r="55" spans="1:27" x14ac:dyDescent="0.2">
      <c r="B55" s="35" t="s">
        <v>118</v>
      </c>
      <c r="C55" s="8">
        <f>IF(C$5="","",SUMPRODUCT(C31:C50,'Cost Margin'!$G$17:$G$36,1+'Cost Margin'!$L$17:$L$36))</f>
        <v>26193.604608000001</v>
      </c>
      <c r="D55" s="8">
        <f>IF(D$5="","",SUMPRODUCT(D31:D50,'Cost Margin'!$G$17:$G$36,1+'Cost Margin'!$L$17:$L$36))</f>
        <v>4365.6007680000002</v>
      </c>
      <c r="E55" s="8" t="str">
        <f>IF(E$5="","",SUMPRODUCT(E31:E50,'Cost Margin'!$G$17:$G$36,1+'Cost Margin'!$L$17:$L$36))</f>
        <v/>
      </c>
      <c r="F55" s="8" t="str">
        <f>IF(F$5="","",SUMPRODUCT(F31:F50,'Cost Margin'!$G$17:$G$36,1+'Cost Margin'!$L$17:$L$36))</f>
        <v/>
      </c>
      <c r="G55" s="8" t="str">
        <f>IF(G$5="","",SUMPRODUCT(G31:G50,'Cost Margin'!$G$17:$G$36,1+'Cost Margin'!$L$17:$L$36))</f>
        <v/>
      </c>
      <c r="H55" s="8" t="str">
        <f>IF(H$5="","",SUMPRODUCT(H31:H50,'Cost Margin'!$G$17:$G$36,1+'Cost Margin'!$L$17:$L$36))</f>
        <v/>
      </c>
      <c r="I55" s="8" t="str">
        <f>IF(I$5="","",SUMPRODUCT(I31:I50,'Cost Margin'!$G$17:$G$36,1+'Cost Margin'!$L$17:$L$36))</f>
        <v/>
      </c>
      <c r="J55" s="8" t="str">
        <f>IF(J$5="","",SUMPRODUCT(J31:J50,'Cost Margin'!$G$17:$G$36,1+'Cost Margin'!$L$17:$L$36))</f>
        <v/>
      </c>
      <c r="K55" s="8" t="str">
        <f>IF(K$5="","",SUMPRODUCT(K31:K50,'Cost Margin'!$G$17:$G$36,1+'Cost Margin'!$L$17:$L$36))</f>
        <v/>
      </c>
      <c r="L55" s="8" t="str">
        <f>IF(L$5="","",SUMPRODUCT(L31:L50,'Cost Margin'!$G$17:$G$36,1+'Cost Margin'!$L$17:$L$36))</f>
        <v/>
      </c>
      <c r="M55" s="8" t="str">
        <f>IF(M$5="","",SUMPRODUCT(M31:M50,'Cost Margin'!$G$17:$G$36,1+'Cost Margin'!$L$17:$L$36))</f>
        <v/>
      </c>
      <c r="N55" s="8" t="str">
        <f>IF(N$5="","",SUMPRODUCT(N31:N50,'Cost Margin'!$G$17:$G$36,1+'Cost Margin'!$L$17:$L$36))</f>
        <v/>
      </c>
      <c r="O55" s="8" t="str">
        <f>IF(O$5="","",SUMPRODUCT(O31:O50,'Cost Margin'!$G$17:$G$36,1+'Cost Margin'!$L$17:$L$36))</f>
        <v/>
      </c>
      <c r="P55" s="8" t="str">
        <f>IF(P$5="","",SUMPRODUCT(P31:P50,'Cost Margin'!$G$17:$G$36,1+'Cost Margin'!$L$17:$L$36))</f>
        <v/>
      </c>
      <c r="Q55" s="8" t="str">
        <f>IF(Q$5="","",SUMPRODUCT(Q31:Q50,'Cost Margin'!$G$17:$G$36,1+'Cost Margin'!$L$17:$L$36))</f>
        <v/>
      </c>
      <c r="R55" s="8" t="str">
        <f>IF(R$5="","",SUMPRODUCT(R31:R50,'Cost Margin'!$G$17:$G$36,1+'Cost Margin'!$L$17:$L$36))</f>
        <v/>
      </c>
      <c r="S55" s="8" t="str">
        <f>IF(S$5="","",SUMPRODUCT(S31:S50,'Cost Margin'!$G$17:$G$36,1+'Cost Margin'!$L$17:$L$36))</f>
        <v/>
      </c>
      <c r="T55" s="8" t="str">
        <f>IF(T$5="","",SUMPRODUCT(T31:T50,'Cost Margin'!$G$17:$G$36,1+'Cost Margin'!$L$17:$L$36))</f>
        <v/>
      </c>
      <c r="U55" s="8" t="str">
        <f>IF(U$5="","",SUMPRODUCT(U31:U50,'Cost Margin'!$G$17:$G$36,1+'Cost Margin'!$L$17:$L$36))</f>
        <v/>
      </c>
      <c r="V55" s="8" t="str">
        <f>IF(V$5="","",SUMPRODUCT(V31:V50,'Cost Margin'!$G$17:$G$36,1+'Cost Margin'!$L$17:$L$36))</f>
        <v/>
      </c>
      <c r="W55" s="8" t="str">
        <f>IF(W$5="","",SUMPRODUCT(W31:W50,'Cost Margin'!$G$17:$G$36,1+'Cost Margin'!$L$17:$L$36))</f>
        <v/>
      </c>
      <c r="X55" s="8" t="str">
        <f>IF(X$5="","",SUMPRODUCT(X31:X50,'Cost Margin'!$G$17:$G$36,1+'Cost Margin'!$L$17:$L$36))</f>
        <v/>
      </c>
      <c r="Y55" s="8" t="str">
        <f>IF(Y$5="","",SUMPRODUCT(Y31:Y50,'Cost Margin'!$G$17:$G$36,1+'Cost Margin'!$L$17:$L$36))</f>
        <v/>
      </c>
      <c r="Z55" s="8" t="str">
        <f>IF(Z$5="","",SUMPRODUCT(Z31:Z50,'Cost Margin'!$G$17:$G$36,1+'Cost Margin'!$L$17:$L$36))</f>
        <v/>
      </c>
      <c r="AA55" s="26">
        <f t="shared" si="4"/>
        <v>30559.205376000002</v>
      </c>
    </row>
    <row r="56" spans="1:27" x14ac:dyDescent="0.2">
      <c r="B56" s="35" t="s">
        <v>20</v>
      </c>
      <c r="C56" s="8">
        <f>IF(C$5="","",IF('Cost Margin'!$B$13&lt;&gt;"Y",0,C$4*SUMIFS('Cost Margin'!$D$41:$D$52,'Cost Margin'!$E$41:$E$52,"Monthly")+IF(0=0,SUMIFS('Cost Margin'!$D$41:$D$52,'Cost Margin'!$E$41:$E$52,"&lt;&gt;Monthly"),0)))</f>
        <v>3000</v>
      </c>
      <c r="D56" s="8">
        <f>IF(D$5="","",IF('Cost Margin'!$B$13&lt;&gt;"Y",0,D$4*SUMIFS('Cost Margin'!$D$41:$D$52,'Cost Margin'!$E$41:$E$52,"Monthly")+IF(1=0,SUMIFS('Cost Margin'!$D$41:$D$52,'Cost Margin'!$E$41:$E$52,"&lt;&gt;Monthly"),0)))</f>
        <v>0</v>
      </c>
      <c r="E56" s="8" t="str">
        <f>IF(E$5="","",IF('Cost Margin'!$B$13&lt;&gt;"Y",0,E$4*SUMIFS('Cost Margin'!$D$41:$D$52,'Cost Margin'!$E$41:$E$52,"Monthly")+IF(2=0,SUMIFS('Cost Margin'!$D$41:$D$52,'Cost Margin'!$E$41:$E$52,"&lt;&gt;Monthly"),0)))</f>
        <v/>
      </c>
      <c r="F56" s="8" t="str">
        <f>IF(F$5="","",IF('Cost Margin'!$B$13&lt;&gt;"Y",0,F$4*SUMIFS('Cost Margin'!$D$41:$D$52,'Cost Margin'!$E$41:$E$52,"Monthly")+IF(3=0,SUMIFS('Cost Margin'!$D$41:$D$52,'Cost Margin'!$E$41:$E$52,"&lt;&gt;Monthly"),0)))</f>
        <v/>
      </c>
      <c r="G56" s="8" t="str">
        <f>IF(G$5="","",IF('Cost Margin'!$B$13&lt;&gt;"Y",0,G$4*SUMIFS('Cost Margin'!$D$41:$D$52,'Cost Margin'!$E$41:$E$52,"Monthly")+IF(4=0,SUMIFS('Cost Margin'!$D$41:$D$52,'Cost Margin'!$E$41:$E$52,"&lt;&gt;Monthly"),0)))</f>
        <v/>
      </c>
      <c r="H56" s="8" t="str">
        <f>IF(H$5="","",IF('Cost Margin'!$B$13&lt;&gt;"Y",0,H$4*SUMIFS('Cost Margin'!$D$41:$D$52,'Cost Margin'!$E$41:$E$52,"Monthly")+IF(5=0,SUMIFS('Cost Margin'!$D$41:$D$52,'Cost Margin'!$E$41:$E$52,"&lt;&gt;Monthly"),0)))</f>
        <v/>
      </c>
      <c r="I56" s="8" t="str">
        <f>IF(I$5="","",IF('Cost Margin'!$B$13&lt;&gt;"Y",0,I$4*SUMIFS('Cost Margin'!$D$41:$D$52,'Cost Margin'!$E$41:$E$52,"Monthly")+IF(6=0,SUMIFS('Cost Margin'!$D$41:$D$52,'Cost Margin'!$E$41:$E$52,"&lt;&gt;Monthly"),0)))</f>
        <v/>
      </c>
      <c r="J56" s="8" t="str">
        <f>IF(J$5="","",IF('Cost Margin'!$B$13&lt;&gt;"Y",0,J$4*SUMIFS('Cost Margin'!$D$41:$D$52,'Cost Margin'!$E$41:$E$52,"Monthly")+IF(7=0,SUMIFS('Cost Margin'!$D$41:$D$52,'Cost Margin'!$E$41:$E$52,"&lt;&gt;Monthly"),0)))</f>
        <v/>
      </c>
      <c r="K56" s="8" t="str">
        <f>IF(K$5="","",IF('Cost Margin'!$B$13&lt;&gt;"Y",0,K$4*SUMIFS('Cost Margin'!$D$41:$D$52,'Cost Margin'!$E$41:$E$52,"Monthly")+IF(8=0,SUMIFS('Cost Margin'!$D$41:$D$52,'Cost Margin'!$E$41:$E$52,"&lt;&gt;Monthly"),0)))</f>
        <v/>
      </c>
      <c r="L56" s="8" t="str">
        <f>IF(L$5="","",IF('Cost Margin'!$B$13&lt;&gt;"Y",0,L$4*SUMIFS('Cost Margin'!$D$41:$D$52,'Cost Margin'!$E$41:$E$52,"Monthly")+IF(9=0,SUMIFS('Cost Margin'!$D$41:$D$52,'Cost Margin'!$E$41:$E$52,"&lt;&gt;Monthly"),0)))</f>
        <v/>
      </c>
      <c r="M56" s="8" t="str">
        <f>IF(M$5="","",IF('Cost Margin'!$B$13&lt;&gt;"Y",0,M$4*SUMIFS('Cost Margin'!$D$41:$D$52,'Cost Margin'!$E$41:$E$52,"Monthly")+IF(10=0,SUMIFS('Cost Margin'!$D$41:$D$52,'Cost Margin'!$E$41:$E$52,"&lt;&gt;Monthly"),0)))</f>
        <v/>
      </c>
      <c r="N56" s="8" t="str">
        <f>IF(N$5="","",IF('Cost Margin'!$B$13&lt;&gt;"Y",0,N$4*SUMIFS('Cost Margin'!$D$41:$D$52,'Cost Margin'!$E$41:$E$52,"Monthly")+IF(11=0,SUMIFS('Cost Margin'!$D$41:$D$52,'Cost Margin'!$E$41:$E$52,"&lt;&gt;Monthly"),0)))</f>
        <v/>
      </c>
      <c r="O56" s="8" t="str">
        <f>IF(O$5="","",IF('Cost Margin'!$B$13&lt;&gt;"Y",0,O$4*SUMIFS('Cost Margin'!$D$41:$D$52,'Cost Margin'!$E$41:$E$52,"Monthly")+IF(12=0,SUMIFS('Cost Margin'!$D$41:$D$52,'Cost Margin'!$E$41:$E$52,"&lt;&gt;Monthly"),0)))</f>
        <v/>
      </c>
      <c r="P56" s="8" t="str">
        <f>IF(P$5="","",IF('Cost Margin'!$B$13&lt;&gt;"Y",0,P$4*SUMIFS('Cost Margin'!$D$41:$D$52,'Cost Margin'!$E$41:$E$52,"Monthly")+IF(13=0,SUMIFS('Cost Margin'!$D$41:$D$52,'Cost Margin'!$E$41:$E$52,"&lt;&gt;Monthly"),0)))</f>
        <v/>
      </c>
      <c r="Q56" s="8" t="str">
        <f>IF(Q$5="","",IF('Cost Margin'!$B$13&lt;&gt;"Y",0,Q$4*SUMIFS('Cost Margin'!$D$41:$D$52,'Cost Margin'!$E$41:$E$52,"Monthly")+IF(14=0,SUMIFS('Cost Margin'!$D$41:$D$52,'Cost Margin'!$E$41:$E$52,"&lt;&gt;Monthly"),0)))</f>
        <v/>
      </c>
      <c r="R56" s="8" t="str">
        <f>IF(R$5="","",IF('Cost Margin'!$B$13&lt;&gt;"Y",0,R$4*SUMIFS('Cost Margin'!$D$41:$D$52,'Cost Margin'!$E$41:$E$52,"Monthly")+IF(15=0,SUMIFS('Cost Margin'!$D$41:$D$52,'Cost Margin'!$E$41:$E$52,"&lt;&gt;Monthly"),0)))</f>
        <v/>
      </c>
      <c r="S56" s="8" t="str">
        <f>IF(S$5="","",IF('Cost Margin'!$B$13&lt;&gt;"Y",0,S$4*SUMIFS('Cost Margin'!$D$41:$D$52,'Cost Margin'!$E$41:$E$52,"Monthly")+IF(16=0,SUMIFS('Cost Margin'!$D$41:$D$52,'Cost Margin'!$E$41:$E$52,"&lt;&gt;Monthly"),0)))</f>
        <v/>
      </c>
      <c r="T56" s="8" t="str">
        <f>IF(T$5="","",IF('Cost Margin'!$B$13&lt;&gt;"Y",0,T$4*SUMIFS('Cost Margin'!$D$41:$D$52,'Cost Margin'!$E$41:$E$52,"Monthly")+IF(17=0,SUMIFS('Cost Margin'!$D$41:$D$52,'Cost Margin'!$E$41:$E$52,"&lt;&gt;Monthly"),0)))</f>
        <v/>
      </c>
      <c r="U56" s="8" t="str">
        <f>IF(U$5="","",IF('Cost Margin'!$B$13&lt;&gt;"Y",0,U$4*SUMIFS('Cost Margin'!$D$41:$D$52,'Cost Margin'!$E$41:$E$52,"Monthly")+IF(18=0,SUMIFS('Cost Margin'!$D$41:$D$52,'Cost Margin'!$E$41:$E$52,"&lt;&gt;Monthly"),0)))</f>
        <v/>
      </c>
      <c r="V56" s="8" t="str">
        <f>IF(V$5="","",IF('Cost Margin'!$B$13&lt;&gt;"Y",0,V$4*SUMIFS('Cost Margin'!$D$41:$D$52,'Cost Margin'!$E$41:$E$52,"Monthly")+IF(19=0,SUMIFS('Cost Margin'!$D$41:$D$52,'Cost Margin'!$E$41:$E$52,"&lt;&gt;Monthly"),0)))</f>
        <v/>
      </c>
      <c r="W56" s="8" t="str">
        <f>IF(W$5="","",IF('Cost Margin'!$B$13&lt;&gt;"Y",0,W$4*SUMIFS('Cost Margin'!$D$41:$D$52,'Cost Margin'!$E$41:$E$52,"Monthly")+IF(20=0,SUMIFS('Cost Margin'!$D$41:$D$52,'Cost Margin'!$E$41:$E$52,"&lt;&gt;Monthly"),0)))</f>
        <v/>
      </c>
      <c r="X56" s="8" t="str">
        <f>IF(X$5="","",IF('Cost Margin'!$B$13&lt;&gt;"Y",0,X$4*SUMIFS('Cost Margin'!$D$41:$D$52,'Cost Margin'!$E$41:$E$52,"Monthly")+IF(21=0,SUMIFS('Cost Margin'!$D$41:$D$52,'Cost Margin'!$E$41:$E$52,"&lt;&gt;Monthly"),0)))</f>
        <v/>
      </c>
      <c r="Y56" s="8" t="str">
        <f>IF(Y$5="","",IF('Cost Margin'!$B$13&lt;&gt;"Y",0,Y$4*SUMIFS('Cost Margin'!$D$41:$D$52,'Cost Margin'!$E$41:$E$52,"Monthly")+IF(22=0,SUMIFS('Cost Margin'!$D$41:$D$52,'Cost Margin'!$E$41:$E$52,"&lt;&gt;Monthly"),0)))</f>
        <v/>
      </c>
      <c r="Z56" s="8" t="str">
        <f>IF(Z$5="","",IF('Cost Margin'!$B$13&lt;&gt;"Y",0,Z$4*SUMIFS('Cost Margin'!$D$41:$D$52,'Cost Margin'!$E$41:$E$52,"Monthly")+IF(23=0,SUMIFS('Cost Margin'!$D$41:$D$52,'Cost Margin'!$E$41:$E$52,"&lt;&gt;Monthly"),0)))</f>
        <v/>
      </c>
      <c r="AA56" s="26">
        <f t="shared" si="4"/>
        <v>3000</v>
      </c>
    </row>
    <row r="57" spans="1:27" x14ac:dyDescent="0.2">
      <c r="B57" s="4" t="s">
        <v>22</v>
      </c>
      <c r="C57" s="37">
        <f t="shared" ref="C57:Z57" si="5">IF(C$5="","",C55+C56)</f>
        <v>29193.604608000001</v>
      </c>
      <c r="D57" s="37">
        <f t="shared" si="5"/>
        <v>4365.6007680000002</v>
      </c>
      <c r="E57" s="37" t="str">
        <f t="shared" si="5"/>
        <v/>
      </c>
      <c r="F57" s="37" t="str">
        <f t="shared" si="5"/>
        <v/>
      </c>
      <c r="G57" s="37" t="str">
        <f t="shared" si="5"/>
        <v/>
      </c>
      <c r="H57" s="37" t="str">
        <f t="shared" si="5"/>
        <v/>
      </c>
      <c r="I57" s="37" t="str">
        <f t="shared" si="5"/>
        <v/>
      </c>
      <c r="J57" s="37" t="str">
        <f t="shared" si="5"/>
        <v/>
      </c>
      <c r="K57" s="37" t="str">
        <f t="shared" si="5"/>
        <v/>
      </c>
      <c r="L57" s="37" t="str">
        <f t="shared" si="5"/>
        <v/>
      </c>
      <c r="M57" s="37" t="str">
        <f t="shared" si="5"/>
        <v/>
      </c>
      <c r="N57" s="37" t="str">
        <f t="shared" si="5"/>
        <v/>
      </c>
      <c r="O57" s="37" t="str">
        <f t="shared" si="5"/>
        <v/>
      </c>
      <c r="P57" s="37" t="str">
        <f t="shared" si="5"/>
        <v/>
      </c>
      <c r="Q57" s="37" t="str">
        <f t="shared" si="5"/>
        <v/>
      </c>
      <c r="R57" s="37" t="str">
        <f t="shared" si="5"/>
        <v/>
      </c>
      <c r="S57" s="37" t="str">
        <f t="shared" si="5"/>
        <v/>
      </c>
      <c r="T57" s="37" t="str">
        <f t="shared" si="5"/>
        <v/>
      </c>
      <c r="U57" s="37" t="str">
        <f t="shared" si="5"/>
        <v/>
      </c>
      <c r="V57" s="37" t="str">
        <f t="shared" si="5"/>
        <v/>
      </c>
      <c r="W57" s="37" t="str">
        <f t="shared" si="5"/>
        <v/>
      </c>
      <c r="X57" s="37" t="str">
        <f t="shared" si="5"/>
        <v/>
      </c>
      <c r="Y57" s="37" t="str">
        <f t="shared" si="5"/>
        <v/>
      </c>
      <c r="Z57" s="37" t="str">
        <f t="shared" si="5"/>
        <v/>
      </c>
      <c r="AA57" s="26">
        <f t="shared" si="4"/>
        <v>33559.205375999998</v>
      </c>
    </row>
    <row r="58" spans="1:27" x14ac:dyDescent="0.2">
      <c r="B58" s="4" t="s">
        <v>119</v>
      </c>
      <c r="C58" s="37">
        <f>IF(C$5="","",IF('Cost Margin'!$B$4="MSP",IF('Cost Margin'!$B$12="",0,'Cost Margin'!$B$12*C$4),IF('Cost Margin'!$B$4="Time &amp; materials",SUMPRODUCT(C31:C50,'Cost Margin'!$F$17:$F$36),IF(OR('Cost Margin'!$B$11="",'Cost Margin'!$B$10=""),0,'Cost Margin'!$B$11*C$4/'Cost Margin'!$B$10)))+IF('Cost Margin'!$B$13&lt;&gt;"Y",0,C$4*SUMIFS('Cost Margin'!$D$41:$D$52,'Cost Margin'!$E$41:$E$52,"Monthly",'Cost Margin'!$F$41:$F$52,"Y")+IF(0=0,SUMIFS('Cost Margin'!$D$41:$D$52,'Cost Margin'!$E$41:$E$52,"&lt;&gt;Monthly",'Cost Margin'!$F$41:$F$52,"Y"),0)))</f>
        <v>41610.738255033553</v>
      </c>
      <c r="D58" s="37">
        <f>IF(D$5="","",IF('Cost Margin'!$B$4="MSP",IF('Cost Margin'!$B$12="",0,'Cost Margin'!$B$12*D$4),IF('Cost Margin'!$B$4="Time &amp; materials",SUMPRODUCT(D31:D50,'Cost Margin'!$F$17:$F$36),IF(OR('Cost Margin'!$B$11="",'Cost Margin'!$B$10=""),0,'Cost Margin'!$B$11*D$4/'Cost Margin'!$B$10)))+IF('Cost Margin'!$B$13&lt;&gt;"Y",0,D$4*SUMIFS('Cost Margin'!$D$41:$D$52,'Cost Margin'!$E$41:$E$52,"Monthly",'Cost Margin'!$F$41:$F$52,"Y")+IF(1=0,SUMIFS('Cost Margin'!$D$41:$D$52,'Cost Margin'!$E$41:$E$52,"&lt;&gt;Monthly",'Cost Margin'!$F$41:$F$52,"Y"),0)))</f>
        <v>8389.2617449664431</v>
      </c>
      <c r="E58" s="37" t="str">
        <f>IF(E$5="","",IF('Cost Margin'!$B$4="MSP",IF('Cost Margin'!$B$12="",0,'Cost Margin'!$B$12*E$4),IF('Cost Margin'!$B$4="Time &amp; materials",SUMPRODUCT(E31:E50,'Cost Margin'!$F$17:$F$36),IF(OR('Cost Margin'!$B$11="",'Cost Margin'!$B$10=""),0,'Cost Margin'!$B$11*E$4/'Cost Margin'!$B$10)))+IF('Cost Margin'!$B$13&lt;&gt;"Y",0,E$4*SUMIFS('Cost Margin'!$D$41:$D$52,'Cost Margin'!$E$41:$E$52,"Monthly",'Cost Margin'!$F$41:$F$52,"Y")+IF(2=0,SUMIFS('Cost Margin'!$D$41:$D$52,'Cost Margin'!$E$41:$E$52,"&lt;&gt;Monthly",'Cost Margin'!$F$41:$F$52,"Y"),0)))</f>
        <v/>
      </c>
      <c r="F58" s="37" t="str">
        <f>IF(F$5="","",IF('Cost Margin'!$B$4="MSP",IF('Cost Margin'!$B$12="",0,'Cost Margin'!$B$12*F$4),IF('Cost Margin'!$B$4="Time &amp; materials",SUMPRODUCT(F31:F50,'Cost Margin'!$F$17:$F$36),IF(OR('Cost Margin'!$B$11="",'Cost Margin'!$B$10=""),0,'Cost Margin'!$B$11*F$4/'Cost Margin'!$B$10)))+IF('Cost Margin'!$B$13&lt;&gt;"Y",0,F$4*SUMIFS('Cost Margin'!$D$41:$D$52,'Cost Margin'!$E$41:$E$52,"Monthly",'Cost Margin'!$F$41:$F$52,"Y")+IF(3=0,SUMIFS('Cost Margin'!$D$41:$D$52,'Cost Margin'!$E$41:$E$52,"&lt;&gt;Monthly",'Cost Margin'!$F$41:$F$52,"Y"),0)))</f>
        <v/>
      </c>
      <c r="G58" s="37" t="str">
        <f>IF(G$5="","",IF('Cost Margin'!$B$4="MSP",IF('Cost Margin'!$B$12="",0,'Cost Margin'!$B$12*G$4),IF('Cost Margin'!$B$4="Time &amp; materials",SUMPRODUCT(G31:G50,'Cost Margin'!$F$17:$F$36),IF(OR('Cost Margin'!$B$11="",'Cost Margin'!$B$10=""),0,'Cost Margin'!$B$11*G$4/'Cost Margin'!$B$10)))+IF('Cost Margin'!$B$13&lt;&gt;"Y",0,G$4*SUMIFS('Cost Margin'!$D$41:$D$52,'Cost Margin'!$E$41:$E$52,"Monthly",'Cost Margin'!$F$41:$F$52,"Y")+IF(4=0,SUMIFS('Cost Margin'!$D$41:$D$52,'Cost Margin'!$E$41:$E$52,"&lt;&gt;Monthly",'Cost Margin'!$F$41:$F$52,"Y"),0)))</f>
        <v/>
      </c>
      <c r="H58" s="37" t="str">
        <f>IF(H$5="","",IF('Cost Margin'!$B$4="MSP",IF('Cost Margin'!$B$12="",0,'Cost Margin'!$B$12*H$4),IF('Cost Margin'!$B$4="Time &amp; materials",SUMPRODUCT(H31:H50,'Cost Margin'!$F$17:$F$36),IF(OR('Cost Margin'!$B$11="",'Cost Margin'!$B$10=""),0,'Cost Margin'!$B$11*H$4/'Cost Margin'!$B$10)))+IF('Cost Margin'!$B$13&lt;&gt;"Y",0,H$4*SUMIFS('Cost Margin'!$D$41:$D$52,'Cost Margin'!$E$41:$E$52,"Monthly",'Cost Margin'!$F$41:$F$52,"Y")+IF(5=0,SUMIFS('Cost Margin'!$D$41:$D$52,'Cost Margin'!$E$41:$E$52,"&lt;&gt;Monthly",'Cost Margin'!$F$41:$F$52,"Y"),0)))</f>
        <v/>
      </c>
      <c r="I58" s="37" t="str">
        <f>IF(I$5="","",IF('Cost Margin'!$B$4="MSP",IF('Cost Margin'!$B$12="",0,'Cost Margin'!$B$12*I$4),IF('Cost Margin'!$B$4="Time &amp; materials",SUMPRODUCT(I31:I50,'Cost Margin'!$F$17:$F$36),IF(OR('Cost Margin'!$B$11="",'Cost Margin'!$B$10=""),0,'Cost Margin'!$B$11*I$4/'Cost Margin'!$B$10)))+IF('Cost Margin'!$B$13&lt;&gt;"Y",0,I$4*SUMIFS('Cost Margin'!$D$41:$D$52,'Cost Margin'!$E$41:$E$52,"Monthly",'Cost Margin'!$F$41:$F$52,"Y")+IF(6=0,SUMIFS('Cost Margin'!$D$41:$D$52,'Cost Margin'!$E$41:$E$52,"&lt;&gt;Monthly",'Cost Margin'!$F$41:$F$52,"Y"),0)))</f>
        <v/>
      </c>
      <c r="J58" s="37" t="str">
        <f>IF(J$5="","",IF('Cost Margin'!$B$4="MSP",IF('Cost Margin'!$B$12="",0,'Cost Margin'!$B$12*J$4),IF('Cost Margin'!$B$4="Time &amp; materials",SUMPRODUCT(J31:J50,'Cost Margin'!$F$17:$F$36),IF(OR('Cost Margin'!$B$11="",'Cost Margin'!$B$10=""),0,'Cost Margin'!$B$11*J$4/'Cost Margin'!$B$10)))+IF('Cost Margin'!$B$13&lt;&gt;"Y",0,J$4*SUMIFS('Cost Margin'!$D$41:$D$52,'Cost Margin'!$E$41:$E$52,"Monthly",'Cost Margin'!$F$41:$F$52,"Y")+IF(7=0,SUMIFS('Cost Margin'!$D$41:$D$52,'Cost Margin'!$E$41:$E$52,"&lt;&gt;Monthly",'Cost Margin'!$F$41:$F$52,"Y"),0)))</f>
        <v/>
      </c>
      <c r="K58" s="37" t="str">
        <f>IF(K$5="","",IF('Cost Margin'!$B$4="MSP",IF('Cost Margin'!$B$12="",0,'Cost Margin'!$B$12*K$4),IF('Cost Margin'!$B$4="Time &amp; materials",SUMPRODUCT(K31:K50,'Cost Margin'!$F$17:$F$36),IF(OR('Cost Margin'!$B$11="",'Cost Margin'!$B$10=""),0,'Cost Margin'!$B$11*K$4/'Cost Margin'!$B$10)))+IF('Cost Margin'!$B$13&lt;&gt;"Y",0,K$4*SUMIFS('Cost Margin'!$D$41:$D$52,'Cost Margin'!$E$41:$E$52,"Monthly",'Cost Margin'!$F$41:$F$52,"Y")+IF(8=0,SUMIFS('Cost Margin'!$D$41:$D$52,'Cost Margin'!$E$41:$E$52,"&lt;&gt;Monthly",'Cost Margin'!$F$41:$F$52,"Y"),0)))</f>
        <v/>
      </c>
      <c r="L58" s="37" t="str">
        <f>IF(L$5="","",IF('Cost Margin'!$B$4="MSP",IF('Cost Margin'!$B$12="",0,'Cost Margin'!$B$12*L$4),IF('Cost Margin'!$B$4="Time &amp; materials",SUMPRODUCT(L31:L50,'Cost Margin'!$F$17:$F$36),IF(OR('Cost Margin'!$B$11="",'Cost Margin'!$B$10=""),0,'Cost Margin'!$B$11*L$4/'Cost Margin'!$B$10)))+IF('Cost Margin'!$B$13&lt;&gt;"Y",0,L$4*SUMIFS('Cost Margin'!$D$41:$D$52,'Cost Margin'!$E$41:$E$52,"Monthly",'Cost Margin'!$F$41:$F$52,"Y")+IF(9=0,SUMIFS('Cost Margin'!$D$41:$D$52,'Cost Margin'!$E$41:$E$52,"&lt;&gt;Monthly",'Cost Margin'!$F$41:$F$52,"Y"),0)))</f>
        <v/>
      </c>
      <c r="M58" s="37" t="str">
        <f>IF(M$5="","",IF('Cost Margin'!$B$4="MSP",IF('Cost Margin'!$B$12="",0,'Cost Margin'!$B$12*M$4),IF('Cost Margin'!$B$4="Time &amp; materials",SUMPRODUCT(M31:M50,'Cost Margin'!$F$17:$F$36),IF(OR('Cost Margin'!$B$11="",'Cost Margin'!$B$10=""),0,'Cost Margin'!$B$11*M$4/'Cost Margin'!$B$10)))+IF('Cost Margin'!$B$13&lt;&gt;"Y",0,M$4*SUMIFS('Cost Margin'!$D$41:$D$52,'Cost Margin'!$E$41:$E$52,"Monthly",'Cost Margin'!$F$41:$F$52,"Y")+IF(10=0,SUMIFS('Cost Margin'!$D$41:$D$52,'Cost Margin'!$E$41:$E$52,"&lt;&gt;Monthly",'Cost Margin'!$F$41:$F$52,"Y"),0)))</f>
        <v/>
      </c>
      <c r="N58" s="37" t="str">
        <f>IF(N$5="","",IF('Cost Margin'!$B$4="MSP",IF('Cost Margin'!$B$12="",0,'Cost Margin'!$B$12*N$4),IF('Cost Margin'!$B$4="Time &amp; materials",SUMPRODUCT(N31:N50,'Cost Margin'!$F$17:$F$36),IF(OR('Cost Margin'!$B$11="",'Cost Margin'!$B$10=""),0,'Cost Margin'!$B$11*N$4/'Cost Margin'!$B$10)))+IF('Cost Margin'!$B$13&lt;&gt;"Y",0,N$4*SUMIFS('Cost Margin'!$D$41:$D$52,'Cost Margin'!$E$41:$E$52,"Monthly",'Cost Margin'!$F$41:$F$52,"Y")+IF(11=0,SUMIFS('Cost Margin'!$D$41:$D$52,'Cost Margin'!$E$41:$E$52,"&lt;&gt;Monthly",'Cost Margin'!$F$41:$F$52,"Y"),0)))</f>
        <v/>
      </c>
      <c r="O58" s="37" t="str">
        <f>IF(O$5="","",IF('Cost Margin'!$B$4="MSP",IF('Cost Margin'!$B$12="",0,'Cost Margin'!$B$12*O$4),IF('Cost Margin'!$B$4="Time &amp; materials",SUMPRODUCT(O31:O50,'Cost Margin'!$F$17:$F$36),IF(OR('Cost Margin'!$B$11="",'Cost Margin'!$B$10=""),0,'Cost Margin'!$B$11*O$4/'Cost Margin'!$B$10)))+IF('Cost Margin'!$B$13&lt;&gt;"Y",0,O$4*SUMIFS('Cost Margin'!$D$41:$D$52,'Cost Margin'!$E$41:$E$52,"Monthly",'Cost Margin'!$F$41:$F$52,"Y")+IF(12=0,SUMIFS('Cost Margin'!$D$41:$D$52,'Cost Margin'!$E$41:$E$52,"&lt;&gt;Monthly",'Cost Margin'!$F$41:$F$52,"Y"),0)))</f>
        <v/>
      </c>
      <c r="P58" s="37" t="str">
        <f>IF(P$5="","",IF('Cost Margin'!$B$4="MSP",IF('Cost Margin'!$B$12="",0,'Cost Margin'!$B$12*P$4),IF('Cost Margin'!$B$4="Time &amp; materials",SUMPRODUCT(P31:P50,'Cost Margin'!$F$17:$F$36),IF(OR('Cost Margin'!$B$11="",'Cost Margin'!$B$10=""),0,'Cost Margin'!$B$11*P$4/'Cost Margin'!$B$10)))+IF('Cost Margin'!$B$13&lt;&gt;"Y",0,P$4*SUMIFS('Cost Margin'!$D$41:$D$52,'Cost Margin'!$E$41:$E$52,"Monthly",'Cost Margin'!$F$41:$F$52,"Y")+IF(13=0,SUMIFS('Cost Margin'!$D$41:$D$52,'Cost Margin'!$E$41:$E$52,"&lt;&gt;Monthly",'Cost Margin'!$F$41:$F$52,"Y"),0)))</f>
        <v/>
      </c>
      <c r="Q58" s="37" t="str">
        <f>IF(Q$5="","",IF('Cost Margin'!$B$4="MSP",IF('Cost Margin'!$B$12="",0,'Cost Margin'!$B$12*Q$4),IF('Cost Margin'!$B$4="Time &amp; materials",SUMPRODUCT(Q31:Q50,'Cost Margin'!$F$17:$F$36),IF(OR('Cost Margin'!$B$11="",'Cost Margin'!$B$10=""),0,'Cost Margin'!$B$11*Q$4/'Cost Margin'!$B$10)))+IF('Cost Margin'!$B$13&lt;&gt;"Y",0,Q$4*SUMIFS('Cost Margin'!$D$41:$D$52,'Cost Margin'!$E$41:$E$52,"Monthly",'Cost Margin'!$F$41:$F$52,"Y")+IF(14=0,SUMIFS('Cost Margin'!$D$41:$D$52,'Cost Margin'!$E$41:$E$52,"&lt;&gt;Monthly",'Cost Margin'!$F$41:$F$52,"Y"),0)))</f>
        <v/>
      </c>
      <c r="R58" s="37" t="str">
        <f>IF(R$5="","",IF('Cost Margin'!$B$4="MSP",IF('Cost Margin'!$B$12="",0,'Cost Margin'!$B$12*R$4),IF('Cost Margin'!$B$4="Time &amp; materials",SUMPRODUCT(R31:R50,'Cost Margin'!$F$17:$F$36),IF(OR('Cost Margin'!$B$11="",'Cost Margin'!$B$10=""),0,'Cost Margin'!$B$11*R$4/'Cost Margin'!$B$10)))+IF('Cost Margin'!$B$13&lt;&gt;"Y",0,R$4*SUMIFS('Cost Margin'!$D$41:$D$52,'Cost Margin'!$E$41:$E$52,"Monthly",'Cost Margin'!$F$41:$F$52,"Y")+IF(15=0,SUMIFS('Cost Margin'!$D$41:$D$52,'Cost Margin'!$E$41:$E$52,"&lt;&gt;Monthly",'Cost Margin'!$F$41:$F$52,"Y"),0)))</f>
        <v/>
      </c>
      <c r="S58" s="37" t="str">
        <f>IF(S$5="","",IF('Cost Margin'!$B$4="MSP",IF('Cost Margin'!$B$12="",0,'Cost Margin'!$B$12*S$4),IF('Cost Margin'!$B$4="Time &amp; materials",SUMPRODUCT(S31:S50,'Cost Margin'!$F$17:$F$36),IF(OR('Cost Margin'!$B$11="",'Cost Margin'!$B$10=""),0,'Cost Margin'!$B$11*S$4/'Cost Margin'!$B$10)))+IF('Cost Margin'!$B$13&lt;&gt;"Y",0,S$4*SUMIFS('Cost Margin'!$D$41:$D$52,'Cost Margin'!$E$41:$E$52,"Monthly",'Cost Margin'!$F$41:$F$52,"Y")+IF(16=0,SUMIFS('Cost Margin'!$D$41:$D$52,'Cost Margin'!$E$41:$E$52,"&lt;&gt;Monthly",'Cost Margin'!$F$41:$F$52,"Y"),0)))</f>
        <v/>
      </c>
      <c r="T58" s="37" t="str">
        <f>IF(T$5="","",IF('Cost Margin'!$B$4="MSP",IF('Cost Margin'!$B$12="",0,'Cost Margin'!$B$12*T$4),IF('Cost Margin'!$B$4="Time &amp; materials",SUMPRODUCT(T31:T50,'Cost Margin'!$F$17:$F$36),IF(OR('Cost Margin'!$B$11="",'Cost Margin'!$B$10=""),0,'Cost Margin'!$B$11*T$4/'Cost Margin'!$B$10)))+IF('Cost Margin'!$B$13&lt;&gt;"Y",0,T$4*SUMIFS('Cost Margin'!$D$41:$D$52,'Cost Margin'!$E$41:$E$52,"Monthly",'Cost Margin'!$F$41:$F$52,"Y")+IF(17=0,SUMIFS('Cost Margin'!$D$41:$D$52,'Cost Margin'!$E$41:$E$52,"&lt;&gt;Monthly",'Cost Margin'!$F$41:$F$52,"Y"),0)))</f>
        <v/>
      </c>
      <c r="U58" s="37" t="str">
        <f>IF(U$5="","",IF('Cost Margin'!$B$4="MSP",IF('Cost Margin'!$B$12="",0,'Cost Margin'!$B$12*U$4),IF('Cost Margin'!$B$4="Time &amp; materials",SUMPRODUCT(U31:U50,'Cost Margin'!$F$17:$F$36),IF(OR('Cost Margin'!$B$11="",'Cost Margin'!$B$10=""),0,'Cost Margin'!$B$11*U$4/'Cost Margin'!$B$10)))+IF('Cost Margin'!$B$13&lt;&gt;"Y",0,U$4*SUMIFS('Cost Margin'!$D$41:$D$52,'Cost Margin'!$E$41:$E$52,"Monthly",'Cost Margin'!$F$41:$F$52,"Y")+IF(18=0,SUMIFS('Cost Margin'!$D$41:$D$52,'Cost Margin'!$E$41:$E$52,"&lt;&gt;Monthly",'Cost Margin'!$F$41:$F$52,"Y"),0)))</f>
        <v/>
      </c>
      <c r="V58" s="37" t="str">
        <f>IF(V$5="","",IF('Cost Margin'!$B$4="MSP",IF('Cost Margin'!$B$12="",0,'Cost Margin'!$B$12*V$4),IF('Cost Margin'!$B$4="Time &amp; materials",SUMPRODUCT(V31:V50,'Cost Margin'!$F$17:$F$36),IF(OR('Cost Margin'!$B$11="",'Cost Margin'!$B$10=""),0,'Cost Margin'!$B$11*V$4/'Cost Margin'!$B$10)))+IF('Cost Margin'!$B$13&lt;&gt;"Y",0,V$4*SUMIFS('Cost Margin'!$D$41:$D$52,'Cost Margin'!$E$41:$E$52,"Monthly",'Cost Margin'!$F$41:$F$52,"Y")+IF(19=0,SUMIFS('Cost Margin'!$D$41:$D$52,'Cost Margin'!$E$41:$E$52,"&lt;&gt;Monthly",'Cost Margin'!$F$41:$F$52,"Y"),0)))</f>
        <v/>
      </c>
      <c r="W58" s="37" t="str">
        <f>IF(W$5="","",IF('Cost Margin'!$B$4="MSP",IF('Cost Margin'!$B$12="",0,'Cost Margin'!$B$12*W$4),IF('Cost Margin'!$B$4="Time &amp; materials",SUMPRODUCT(W31:W50,'Cost Margin'!$F$17:$F$36),IF(OR('Cost Margin'!$B$11="",'Cost Margin'!$B$10=""),0,'Cost Margin'!$B$11*W$4/'Cost Margin'!$B$10)))+IF('Cost Margin'!$B$13&lt;&gt;"Y",0,W$4*SUMIFS('Cost Margin'!$D$41:$D$52,'Cost Margin'!$E$41:$E$52,"Monthly",'Cost Margin'!$F$41:$F$52,"Y")+IF(20=0,SUMIFS('Cost Margin'!$D$41:$D$52,'Cost Margin'!$E$41:$E$52,"&lt;&gt;Monthly",'Cost Margin'!$F$41:$F$52,"Y"),0)))</f>
        <v/>
      </c>
      <c r="X58" s="37" t="str">
        <f>IF(X$5="","",IF('Cost Margin'!$B$4="MSP",IF('Cost Margin'!$B$12="",0,'Cost Margin'!$B$12*X$4),IF('Cost Margin'!$B$4="Time &amp; materials",SUMPRODUCT(X31:X50,'Cost Margin'!$F$17:$F$36),IF(OR('Cost Margin'!$B$11="",'Cost Margin'!$B$10=""),0,'Cost Margin'!$B$11*X$4/'Cost Margin'!$B$10)))+IF('Cost Margin'!$B$13&lt;&gt;"Y",0,X$4*SUMIFS('Cost Margin'!$D$41:$D$52,'Cost Margin'!$E$41:$E$52,"Monthly",'Cost Margin'!$F$41:$F$52,"Y")+IF(21=0,SUMIFS('Cost Margin'!$D$41:$D$52,'Cost Margin'!$E$41:$E$52,"&lt;&gt;Monthly",'Cost Margin'!$F$41:$F$52,"Y"),0)))</f>
        <v/>
      </c>
      <c r="Y58" s="37" t="str">
        <f>IF(Y$5="","",IF('Cost Margin'!$B$4="MSP",IF('Cost Margin'!$B$12="",0,'Cost Margin'!$B$12*Y$4),IF('Cost Margin'!$B$4="Time &amp; materials",SUMPRODUCT(Y31:Y50,'Cost Margin'!$F$17:$F$36),IF(OR('Cost Margin'!$B$11="",'Cost Margin'!$B$10=""),0,'Cost Margin'!$B$11*Y$4/'Cost Margin'!$B$10)))+IF('Cost Margin'!$B$13&lt;&gt;"Y",0,Y$4*SUMIFS('Cost Margin'!$D$41:$D$52,'Cost Margin'!$E$41:$E$52,"Monthly",'Cost Margin'!$F$41:$F$52,"Y")+IF(22=0,SUMIFS('Cost Margin'!$D$41:$D$52,'Cost Margin'!$E$41:$E$52,"&lt;&gt;Monthly",'Cost Margin'!$F$41:$F$52,"Y"),0)))</f>
        <v/>
      </c>
      <c r="Z58" s="37" t="str">
        <f>IF(Z$5="","",IF('Cost Margin'!$B$4="MSP",IF('Cost Margin'!$B$12="",0,'Cost Margin'!$B$12*Z$4),IF('Cost Margin'!$B$4="Time &amp; materials",SUMPRODUCT(Z31:Z50,'Cost Margin'!$F$17:$F$36),IF(OR('Cost Margin'!$B$11="",'Cost Margin'!$B$10=""),0,'Cost Margin'!$B$11*Z$4/'Cost Margin'!$B$10)))+IF('Cost Margin'!$B$13&lt;&gt;"Y",0,Z$4*SUMIFS('Cost Margin'!$D$41:$D$52,'Cost Margin'!$E$41:$E$52,"Monthly",'Cost Margin'!$F$41:$F$52,"Y")+IF(23=0,SUMIFS('Cost Margin'!$D$41:$D$52,'Cost Margin'!$E$41:$E$52,"&lt;&gt;Monthly",'Cost Margin'!$F$41:$F$52,"Y"),0)))</f>
        <v/>
      </c>
      <c r="AA58" s="26">
        <f t="shared" si="4"/>
        <v>50000</v>
      </c>
    </row>
    <row r="59" spans="1:27" x14ac:dyDescent="0.2">
      <c r="B59" s="4" t="s">
        <v>24</v>
      </c>
      <c r="C59" s="37">
        <f t="shared" ref="C59:Z59" si="6">IF(C$5="","",C58-C57)</f>
        <v>12417.133647033552</v>
      </c>
      <c r="D59" s="37">
        <f t="shared" si="6"/>
        <v>4023.6609769664428</v>
      </c>
      <c r="E59" s="37" t="str">
        <f t="shared" si="6"/>
        <v/>
      </c>
      <c r="F59" s="37" t="str">
        <f t="shared" si="6"/>
        <v/>
      </c>
      <c r="G59" s="37" t="str">
        <f t="shared" si="6"/>
        <v/>
      </c>
      <c r="H59" s="37" t="str">
        <f t="shared" si="6"/>
        <v/>
      </c>
      <c r="I59" s="37" t="str">
        <f t="shared" si="6"/>
        <v/>
      </c>
      <c r="J59" s="37" t="str">
        <f t="shared" si="6"/>
        <v/>
      </c>
      <c r="K59" s="37" t="str">
        <f t="shared" si="6"/>
        <v/>
      </c>
      <c r="L59" s="37" t="str">
        <f t="shared" si="6"/>
        <v/>
      </c>
      <c r="M59" s="37" t="str">
        <f t="shared" si="6"/>
        <v/>
      </c>
      <c r="N59" s="37" t="str">
        <f t="shared" si="6"/>
        <v/>
      </c>
      <c r="O59" s="37" t="str">
        <f t="shared" si="6"/>
        <v/>
      </c>
      <c r="P59" s="37" t="str">
        <f t="shared" si="6"/>
        <v/>
      </c>
      <c r="Q59" s="37" t="str">
        <f t="shared" si="6"/>
        <v/>
      </c>
      <c r="R59" s="37" t="str">
        <f t="shared" si="6"/>
        <v/>
      </c>
      <c r="S59" s="37" t="str">
        <f t="shared" si="6"/>
        <v/>
      </c>
      <c r="T59" s="37" t="str">
        <f t="shared" si="6"/>
        <v/>
      </c>
      <c r="U59" s="37" t="str">
        <f t="shared" si="6"/>
        <v/>
      </c>
      <c r="V59" s="37" t="str">
        <f t="shared" si="6"/>
        <v/>
      </c>
      <c r="W59" s="37" t="str">
        <f t="shared" si="6"/>
        <v/>
      </c>
      <c r="X59" s="37" t="str">
        <f t="shared" si="6"/>
        <v/>
      </c>
      <c r="Y59" s="37" t="str">
        <f t="shared" si="6"/>
        <v/>
      </c>
      <c r="Z59" s="37" t="str">
        <f t="shared" si="6"/>
        <v/>
      </c>
      <c r="AA59" s="26">
        <f t="shared" si="4"/>
        <v>16440.794623999995</v>
      </c>
    </row>
    <row r="60" spans="1:27" x14ac:dyDescent="0.2">
      <c r="B60" s="4" t="s">
        <v>25</v>
      </c>
      <c r="C60" s="38">
        <f t="shared" ref="C60:Z60" si="7">IF(OR(C$5="",C58=0),"",C59/C58)</f>
        <v>0.2984117602270967</v>
      </c>
      <c r="D60" s="38">
        <f t="shared" si="7"/>
        <v>0.47962038845439997</v>
      </c>
      <c r="E60" s="38" t="str">
        <f t="shared" si="7"/>
        <v/>
      </c>
      <c r="F60" s="38" t="str">
        <f t="shared" si="7"/>
        <v/>
      </c>
      <c r="G60" s="38" t="str">
        <f t="shared" si="7"/>
        <v/>
      </c>
      <c r="H60" s="38" t="str">
        <f t="shared" si="7"/>
        <v/>
      </c>
      <c r="I60" s="38" t="str">
        <f t="shared" si="7"/>
        <v/>
      </c>
      <c r="J60" s="38" t="str">
        <f t="shared" si="7"/>
        <v/>
      </c>
      <c r="K60" s="38" t="str">
        <f t="shared" si="7"/>
        <v/>
      </c>
      <c r="L60" s="38" t="str">
        <f t="shared" si="7"/>
        <v/>
      </c>
      <c r="M60" s="38" t="str">
        <f t="shared" si="7"/>
        <v/>
      </c>
      <c r="N60" s="38" t="str">
        <f t="shared" si="7"/>
        <v/>
      </c>
      <c r="O60" s="38" t="str">
        <f t="shared" si="7"/>
        <v/>
      </c>
      <c r="P60" s="38" t="str">
        <f t="shared" si="7"/>
        <v/>
      </c>
      <c r="Q60" s="38" t="str">
        <f t="shared" si="7"/>
        <v/>
      </c>
      <c r="R60" s="38" t="str">
        <f t="shared" si="7"/>
        <v/>
      </c>
      <c r="S60" s="38" t="str">
        <f t="shared" si="7"/>
        <v/>
      </c>
      <c r="T60" s="38" t="str">
        <f t="shared" si="7"/>
        <v/>
      </c>
      <c r="U60" s="38" t="str">
        <f t="shared" si="7"/>
        <v/>
      </c>
      <c r="V60" s="38" t="str">
        <f t="shared" si="7"/>
        <v/>
      </c>
      <c r="W60" s="38" t="str">
        <f t="shared" si="7"/>
        <v/>
      </c>
      <c r="X60" s="38" t="str">
        <f t="shared" si="7"/>
        <v/>
      </c>
      <c r="Y60" s="38" t="str">
        <f t="shared" si="7"/>
        <v/>
      </c>
      <c r="Z60" s="38" t="str">
        <f t="shared" si="7"/>
        <v/>
      </c>
      <c r="AA60" s="39">
        <f>IF(AA58=0,"",AA59/AA58)</f>
        <v>0.32881589247999987</v>
      </c>
    </row>
    <row r="62" spans="1:27" x14ac:dyDescent="0.2">
      <c r="B62" s="3" t="s">
        <v>120</v>
      </c>
      <c r="C62" s="8">
        <f>IF('Cost Margin'!$T$8="","",AA58-'Cost Margin'!$T$8)</f>
        <v>0</v>
      </c>
      <c r="D62" s="8">
        <f>IF('Cost Margin'!$T$8="","",AA57-'Cost Margin'!$T$12)</f>
        <v>0</v>
      </c>
      <c r="E62" s="3" t="s">
        <v>121</v>
      </c>
    </row>
  </sheetData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00000000-000E-0000-0200-000002000000}">
            <xm:f>OR('Cost Margin'!$B$10="",'Cost Margin'!$B$10&lt;=2)</xm:f>
            <x14:dxf>
              <font>
                <sz val="10"/>
                <color rgb="FF808080"/>
                <name val="Arial"/>
                <charset val="1"/>
              </font>
              <fill>
                <patternFill>
                  <bgColor rgb="FFD9D9D9"/>
                </patternFill>
              </fill>
            </x14:dxf>
          </x14:cfRule>
          <xm:sqref>A4:AA63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30"/>
  <sheetViews>
    <sheetView zoomScaleNormal="100" workbookViewId="0">
      <selection activeCell="D23" sqref="D23"/>
    </sheetView>
  </sheetViews>
  <sheetFormatPr baseColWidth="10" defaultColWidth="8.6640625" defaultRowHeight="15" x14ac:dyDescent="0.2"/>
  <cols>
    <col min="1" max="1" width="24" customWidth="1"/>
    <col min="2" max="2" width="12" customWidth="1"/>
    <col min="3" max="3" width="14" customWidth="1"/>
    <col min="4" max="4" width="80" customWidth="1"/>
    <col min="6" max="6" width="18" customWidth="1"/>
    <col min="7" max="7" width="60" customWidth="1"/>
    <col min="8" max="8" width="22" customWidth="1"/>
    <col min="10" max="13" width="13" customWidth="1"/>
    <col min="16" max="20" width="14" customWidth="1"/>
  </cols>
  <sheetData>
    <row r="1" spans="1:20" ht="18" x14ac:dyDescent="0.2">
      <c r="A1" s="2" t="s">
        <v>70</v>
      </c>
    </row>
    <row r="3" spans="1:20" x14ac:dyDescent="0.2">
      <c r="A3" s="4" t="s">
        <v>71</v>
      </c>
      <c r="B3" s="5">
        <v>8</v>
      </c>
      <c r="C3" s="3" t="s">
        <v>72</v>
      </c>
    </row>
    <row r="4" spans="1:20" x14ac:dyDescent="0.2">
      <c r="J4" s="4" t="s">
        <v>73</v>
      </c>
    </row>
    <row r="5" spans="1:20" ht="23.75" customHeight="1" x14ac:dyDescent="0.2">
      <c r="A5" s="1" t="s">
        <v>44</v>
      </c>
      <c r="B5" s="1" t="s">
        <v>35</v>
      </c>
      <c r="C5" s="1" t="s">
        <v>74</v>
      </c>
      <c r="D5" s="1" t="s">
        <v>75</v>
      </c>
      <c r="F5" s="1" t="s">
        <v>76</v>
      </c>
      <c r="H5" s="1" t="s">
        <v>77</v>
      </c>
      <c r="P5" s="41" t="s">
        <v>78</v>
      </c>
      <c r="Q5" s="41"/>
      <c r="R5" s="41"/>
      <c r="S5" s="41"/>
      <c r="T5" s="41"/>
    </row>
    <row r="6" spans="1:20" x14ac:dyDescent="0.2">
      <c r="A6" s="5" t="s">
        <v>79</v>
      </c>
      <c r="B6" s="15">
        <v>0.08</v>
      </c>
      <c r="C6" s="15">
        <v>0.35</v>
      </c>
      <c r="D6" s="27" t="s">
        <v>80</v>
      </c>
      <c r="F6" s="5" t="s">
        <v>81</v>
      </c>
      <c r="H6" s="5" t="s">
        <v>82</v>
      </c>
      <c r="J6" s="28" t="str">
        <f>IF(A6="","",A6)</f>
        <v>US</v>
      </c>
      <c r="K6" s="28" t="str">
        <f>IF(A7="","",A7)</f>
        <v>India</v>
      </c>
      <c r="L6" s="28" t="str">
        <f>IF(A8="","",A8)</f>
        <v/>
      </c>
      <c r="M6" s="28" t="str">
        <f>IF(A9="","",A9)</f>
        <v/>
      </c>
      <c r="P6" s="1" t="s">
        <v>83</v>
      </c>
      <c r="Q6" s="29" t="str">
        <f>IF(A6="","",A6)</f>
        <v>US</v>
      </c>
      <c r="R6" s="29" t="str">
        <f>IF(A7="","",A7)</f>
        <v>India</v>
      </c>
      <c r="S6" s="29" t="str">
        <f>IF(A8="","",A8)</f>
        <v/>
      </c>
      <c r="T6" s="29" t="str">
        <f>IF(A9="","",A9)</f>
        <v/>
      </c>
    </row>
    <row r="7" spans="1:20" x14ac:dyDescent="0.2">
      <c r="A7" s="5" t="s">
        <v>84</v>
      </c>
      <c r="B7" s="15">
        <v>0.08</v>
      </c>
      <c r="C7" s="15">
        <v>0.5</v>
      </c>
      <c r="D7" s="27" t="s">
        <v>85</v>
      </c>
      <c r="F7" s="5" t="s">
        <v>86</v>
      </c>
      <c r="H7" s="5" t="s">
        <v>87</v>
      </c>
      <c r="J7" s="9">
        <v>46023</v>
      </c>
      <c r="K7" s="9">
        <v>46023</v>
      </c>
      <c r="L7" s="9"/>
      <c r="M7" s="9"/>
      <c r="P7" s="30" t="s">
        <v>81</v>
      </c>
      <c r="Q7" s="17">
        <v>60</v>
      </c>
      <c r="R7" s="17">
        <v>12</v>
      </c>
      <c r="S7" s="17"/>
      <c r="T7" s="17"/>
    </row>
    <row r="8" spans="1:20" x14ac:dyDescent="0.2">
      <c r="A8" s="5"/>
      <c r="B8" s="15"/>
      <c r="C8" s="15"/>
      <c r="D8" s="27" t="s">
        <v>88</v>
      </c>
      <c r="F8" s="5" t="s">
        <v>89</v>
      </c>
      <c r="H8" s="5" t="s">
        <v>90</v>
      </c>
      <c r="J8" s="9">
        <v>46041</v>
      </c>
      <c r="K8" s="9">
        <v>46048</v>
      </c>
      <c r="L8" s="9"/>
      <c r="M8" s="9"/>
      <c r="P8" s="30" t="s">
        <v>86</v>
      </c>
      <c r="Q8" s="17">
        <v>80</v>
      </c>
      <c r="R8" s="17">
        <v>18</v>
      </c>
      <c r="S8" s="17"/>
      <c r="T8" s="17"/>
    </row>
    <row r="9" spans="1:20" x14ac:dyDescent="0.2">
      <c r="A9" s="5"/>
      <c r="B9" s="15"/>
      <c r="C9" s="15"/>
      <c r="D9" s="27"/>
      <c r="F9" s="5" t="s">
        <v>91</v>
      </c>
      <c r="H9" s="5" t="s">
        <v>92</v>
      </c>
      <c r="J9" s="9">
        <v>46069</v>
      </c>
      <c r="K9" s="9">
        <v>46249</v>
      </c>
      <c r="L9" s="9"/>
      <c r="M9" s="9"/>
      <c r="P9" s="30" t="s">
        <v>89</v>
      </c>
      <c r="Q9" s="17">
        <v>100</v>
      </c>
      <c r="R9" s="17">
        <v>25</v>
      </c>
      <c r="S9" s="17"/>
      <c r="T9" s="17"/>
    </row>
    <row r="10" spans="1:20" x14ac:dyDescent="0.2">
      <c r="H10" s="5" t="s">
        <v>93</v>
      </c>
      <c r="J10" s="9">
        <v>46167</v>
      </c>
      <c r="K10" s="9">
        <v>46297</v>
      </c>
      <c r="L10" s="9"/>
      <c r="M10" s="9"/>
      <c r="P10" s="30" t="s">
        <v>91</v>
      </c>
      <c r="Q10" s="17">
        <v>130</v>
      </c>
      <c r="R10" s="17">
        <v>35</v>
      </c>
      <c r="S10" s="17"/>
      <c r="T10" s="17"/>
    </row>
    <row r="11" spans="1:20" x14ac:dyDescent="0.2">
      <c r="A11" s="3"/>
      <c r="H11" s="5" t="s">
        <v>94</v>
      </c>
      <c r="J11" s="9">
        <v>46192</v>
      </c>
      <c r="K11" s="9">
        <v>46381</v>
      </c>
      <c r="L11" s="9"/>
      <c r="M11" s="9"/>
      <c r="P11" s="3" t="s">
        <v>95</v>
      </c>
    </row>
    <row r="12" spans="1:20" x14ac:dyDescent="0.2">
      <c r="H12" s="5" t="s">
        <v>96</v>
      </c>
      <c r="J12" s="9">
        <v>46206</v>
      </c>
      <c r="K12" s="9">
        <v>46388</v>
      </c>
    </row>
    <row r="13" spans="1:20" x14ac:dyDescent="0.2">
      <c r="J13" s="9">
        <v>46272</v>
      </c>
      <c r="K13" s="9">
        <v>46413</v>
      </c>
    </row>
    <row r="14" spans="1:20" x14ac:dyDescent="0.2">
      <c r="F14" s="1" t="s">
        <v>97</v>
      </c>
      <c r="J14" s="9">
        <v>46307</v>
      </c>
      <c r="K14" s="9">
        <v>46614</v>
      </c>
    </row>
    <row r="15" spans="1:20" x14ac:dyDescent="0.2">
      <c r="F15" s="30" t="s">
        <v>98</v>
      </c>
      <c r="G15" s="3" t="s">
        <v>99</v>
      </c>
      <c r="J15" s="9">
        <v>46337</v>
      </c>
      <c r="K15" s="9">
        <v>46662</v>
      </c>
    </row>
    <row r="16" spans="1:20" x14ac:dyDescent="0.2">
      <c r="F16" s="30" t="s">
        <v>100</v>
      </c>
      <c r="J16" s="9">
        <v>46352</v>
      </c>
      <c r="K16" s="9">
        <v>46746</v>
      </c>
    </row>
    <row r="17" spans="6:10" x14ac:dyDescent="0.2">
      <c r="F17" s="30" t="s">
        <v>101</v>
      </c>
      <c r="J17" s="9">
        <v>46381</v>
      </c>
    </row>
    <row r="18" spans="6:10" x14ac:dyDescent="0.2">
      <c r="F18" s="30" t="s">
        <v>102</v>
      </c>
      <c r="J18" s="9">
        <v>46388</v>
      </c>
    </row>
    <row r="19" spans="6:10" x14ac:dyDescent="0.2">
      <c r="J19" s="9">
        <v>46405</v>
      </c>
    </row>
    <row r="20" spans="6:10" x14ac:dyDescent="0.2">
      <c r="J20" s="9">
        <v>46433</v>
      </c>
    </row>
    <row r="21" spans="6:10" x14ac:dyDescent="0.2">
      <c r="J21" s="9">
        <v>46538</v>
      </c>
    </row>
    <row r="22" spans="6:10" x14ac:dyDescent="0.2">
      <c r="J22" s="9">
        <v>46556</v>
      </c>
    </row>
    <row r="23" spans="6:10" x14ac:dyDescent="0.2">
      <c r="J23" s="9">
        <v>46573</v>
      </c>
    </row>
    <row r="24" spans="6:10" x14ac:dyDescent="0.2">
      <c r="J24" s="9">
        <v>46636</v>
      </c>
    </row>
    <row r="25" spans="6:10" x14ac:dyDescent="0.2">
      <c r="J25" s="9">
        <v>46671</v>
      </c>
    </row>
    <row r="26" spans="6:10" x14ac:dyDescent="0.2">
      <c r="J26" s="9">
        <v>46702</v>
      </c>
    </row>
    <row r="27" spans="6:10" x14ac:dyDescent="0.2">
      <c r="J27" s="9">
        <v>46716</v>
      </c>
    </row>
    <row r="28" spans="6:10" x14ac:dyDescent="0.2">
      <c r="J28" s="9">
        <v>46745</v>
      </c>
    </row>
    <row r="30" spans="6:10" x14ac:dyDescent="0.2">
      <c r="J30" s="3" t="s">
        <v>103</v>
      </c>
    </row>
  </sheetData>
  <mergeCells count="1">
    <mergeCell ref="P5:T5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Cost Margin</vt:lpstr>
      <vt:lpstr>Monthly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srikanth parimi</cp:lastModifiedBy>
  <cp:revision>0</cp:revision>
  <dcterms:created xsi:type="dcterms:W3CDTF">2026-10-07T19:28:22Z</dcterms:created>
  <dcterms:modified xsi:type="dcterms:W3CDTF">2026-10-08T18:32:39Z</dcterms:modified>
  <dc:language>en-US</dc:language>
</cp:coreProperties>
</file>